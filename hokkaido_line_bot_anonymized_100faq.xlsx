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bd9dd9268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914c874d2504da3"/>
    <x:sheet xmlns:r="http://schemas.openxmlformats.org/officeDocument/2006/relationships" name="FAQ_100" sheetId="2" r:id="Re29b65cba1bf4422"/>
    <x:sheet xmlns:r="http://schemas.openxmlformats.org/officeDocument/2006/relationships" name="Intent_Map" sheetId="3" r:id="Rf97eca481e5f4fa9"/>
    <x:sheet xmlns:r="http://schemas.openxmlformats.org/officeDocument/2006/relationships" name="Emergency_SOP" sheetId="4" r:id="R691d5b864d104a5d"/>
    <x:sheet xmlns:r="http://schemas.openxmlformats.org/officeDocument/2006/relationships" name="README" sheetId="5" r:id="Rc0c9692f9d13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E3A8A"/>
      </x:patternFill>
    </x:fill>
    <x:fill>
      <x:patternFill patternType="solid">
        <x:fgColor rgb="B91C1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f8c39c1f94ed4" /><Relationship Type="http://schemas.openxmlformats.org/officeDocument/2006/relationships/theme" Target="/xl/theme/theme1.xml" Id="Rcbc1ddc3bd8a4d7f" /><Relationship Type="http://schemas.openxmlformats.org/officeDocument/2006/relationships/sharedStrings" Target="/xl/sharedStrings.xml" Id="R7e57ace8395a4545" /><Relationship Type="http://schemas.openxmlformats.org/officeDocument/2006/relationships/worksheet" Target="/xl/worksheets/sheet1.xml" Id="R4914c874d2504da3" /><Relationship Type="http://schemas.openxmlformats.org/officeDocument/2006/relationships/worksheet" Target="/xl/worksheets/sheet2.xml" Id="Re29b65cba1bf4422" /><Relationship Type="http://schemas.openxmlformats.org/officeDocument/2006/relationships/worksheet" Target="/xl/worksheets/sheet3.xml" Id="Rf97eca481e5f4fa9" /><Relationship Type="http://schemas.openxmlformats.org/officeDocument/2006/relationships/worksheet" Target="/xl/worksheets/sheet4.xml" Id="R691d5b864d104a5d" /><Relationship Type="http://schemas.openxmlformats.org/officeDocument/2006/relationships/worksheet" Target="/xl/worksheets/sheet5.xml" Id="Rc0c9692f9d1347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394984985f4c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FAQ 分類題數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題數</c:v>
          </c:tx>
          <c:cat>
            <c:strRef>
              <c:f>'Dashboard'!$A$6:$A$15</c:f>
              <c:strCache>
                <c:ptCount val="0"/>
              </c:strCache>
            </c:strRef>
          </c:cat>
          <c:val>
            <c:numRef>
              <c:f>'Dashboard'!$B$6:$B$15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394984985f4c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CategorySummaryTable" displayName="CategorySummaryTable" ref="A5:C15" headerRowCount="1">
  <x:tableColumns count="3">
    <x:tableColumn id="1" name="分類"/>
    <x:tableColumn id="2" name="題數"/>
    <x:tableColumn id="3" name="高風險題數"/>
  </x:tableColumns>
  <x:tableStyleInfo name="TableStyleMedium2" showRowStripes="1"/>
</x:table>
</file>

<file path=xl/tables/table2.xml><?xml version="1.0" encoding="utf-8"?>
<x:table xmlns:x="http://schemas.openxmlformats.org/spreadsheetml/2006/main" id="1" name="FAQTable" displayName="FAQTable" ref="A1:L101" headerRowCount="1">
  <x:tableColumns count="12">
    <x:tableColumn id="1" name="ID"/>
    <x:tableColumn id="2" name="大分類"/>
    <x:tableColumn id="3" name="子分類"/>
    <x:tableColumn id="4" name="匿名化問題"/>
    <x:tableColumn id="5" name="觸發關鍵字"/>
    <x:tableColumn id="6" name="標準答案"/>
    <x:tableColumn id="7" name="LINE短答"/>
    <x:tableColumn id="8" name="風險等級"/>
    <x:tableColumn id="9" name="需官方查證"/>
    <x:tableColumn id="10" name="可用用途"/>
    <x:tableColumn id="11" name="導流建議"/>
    <x:tableColumn id="12" name="來源依據"/>
  </x:tableColumns>
  <x:tableStyleInfo name="TableStyleMedium2" showRowStripes="1"/>
</x:table>
</file>

<file path=xl/tables/table3.xml><?xml version="1.0" encoding="utf-8"?>
<x:table xmlns:x="http://schemas.openxmlformats.org/spreadsheetml/2006/main" id="2" name="IntentTable" displayName="IntentTable" ref="A1:G11" headerRowCount="1">
  <x:tableColumns count="7">
    <x:tableColumn id="1" name="Intent_ID"/>
    <x:tableColumn id="2" name="主選單"/>
    <x:tableColumn id="3" name="子意圖"/>
    <x:tableColumn id="4" name="代表關鍵字"/>
    <x:tableColumn id="5" name="回覆策略"/>
    <x:tableColumn id="6" name="是否需人工介入"/>
    <x:tableColumn id="7" name="備註"/>
  </x:tableColumns>
  <x:tableStyleInfo name="TableStyleMedium2" showRowStripes="1"/>
</x:table>
</file>

<file path=xl/tables/table4.xml><?xml version="1.0" encoding="utf-8"?>
<x:table xmlns:x="http://schemas.openxmlformats.org/spreadsheetml/2006/main" id="3" name="EmergencySOPTable" displayName="EmergencySOPTable" ref="A1:F9" headerRowCount="1">
  <x:tableColumns count="6">
    <x:tableColumn id="1" name="情境"/>
    <x:tableColumn id="2" name="立即動作"/>
    <x:tableColumn id="3" name="日文短句"/>
    <x:tableColumn id="4" name="聯絡對象"/>
    <x:tableColumn id="5" name="要保留的資料"/>
    <x:tableColumn id="6" name="LINE短答模板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beb3b436d44817" /><Relationship Type="http://schemas.openxmlformats.org/officeDocument/2006/relationships/table" Target="/xl/tables/table1.xml" Id="R4c9a070c46f44d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73e7f14ec944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c66410329d43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b0abceb0d04e3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</x:cols>
  <x:sheetData>
    <x:row r="1">
      <x:c r="A1" s="4" t="str">
        <x:v>北海道 LINE Bot 匿名化 FAQ 資料庫｜Dashboard</x:v>
      </x:c>
    </x:row>
    <x:row r="3">
      <x:c r="A3" s="9" t="str">
        <x:v>總 FAQ 數</x:v>
      </x:c>
      <x:c r="B3" s="40" t="n">
        <x:f>COUNTA(FAQ_100!A2:A101)</x:f>
        <x:v>100</x:v>
      </x:c>
      <x:c r="C3" s="40"/>
      <x:c r="D3" s="40" t="str">
        <x:v>高風險題數</x:v>
      </x:c>
      <x:c r="E3" s="40" t="n">
        <x:f>COUNTIF(FAQ_100!H2:H101,"高")</x:f>
        <x:v>45</x:v>
      </x:c>
      <x:c r="F3" s="9"/>
      <x:c r="G3" s="9" t="str">
        <x:v>需官方查證</x:v>
      </x:c>
      <x:c r="H3" s="9" t="n">
        <x:f>COUNTIF(FAQ_100!I2:I101,"是")</x:f>
        <x:v>57</x:v>
      </x:c>
    </x:row>
    <x:row r="5">
      <x:c r="A5" s="30" t="str">
        <x:v>分類</x:v>
      </x:c>
      <x:c r="B5" s="30" t="str">
        <x:v>題數</x:v>
      </x:c>
      <x:c r="C5" s="30" t="str">
        <x:v>高風險題數</x:v>
      </x:c>
    </x:row>
    <x:row r="6">
      <x:c r="A6" s="12" t="str">
        <x:v>JR航班與交通異動</x:v>
      </x:c>
      <x:c r="B6" s="12" t="n">
        <x:v>10</x:v>
      </x:c>
      <x:c r="C6" s="12" t="n">
        <x:v>6</x:v>
      </x:c>
    </x:row>
    <x:row r="7">
      <x:c r="A7" s="12" t="str">
        <x:v>LINE Bot資料庫</x:v>
      </x:c>
      <x:c r="B7" s="12" t="n">
        <x:v>10</x:v>
      </x:c>
      <x:c r="C7" s="12" t="n">
        <x:v>4</x:v>
      </x:c>
    </x:row>
    <x:row r="8">
      <x:c r="A8" s="12" t="str">
        <x:v>事故救急</x:v>
      </x:c>
      <x:c r="B8" s="12" t="n">
        <x:v>10</x:v>
      </x:c>
      <x:c r="C8" s="12" t="n">
        <x:v>9</x:v>
      </x:c>
    </x:row>
    <x:row r="9">
      <x:c r="A9" s="12" t="str">
        <x:v>交通法規</x:v>
      </x:c>
      <x:c r="B9" s="12" t="n">
        <x:v>10</x:v>
      </x:c>
      <x:c r="C9" s="12" t="n">
        <x:v>10</x:v>
      </x:c>
    </x:row>
    <x:row r="10">
      <x:c r="A10" s="12" t="str">
        <x:v>住宿餐廳與購物</x:v>
      </x:c>
      <x:c r="B10" s="12" t="n">
        <x:v>10</x:v>
      </x:c>
      <x:c r="C10" s="12" t="n">
        <x:v>0</x:v>
      </x:c>
    </x:row>
    <x:row r="11">
      <x:c r="A11" s="12" t="str">
        <x:v>停車加油與付款</x:v>
      </x:c>
      <x:c r="B11" s="12" t="n">
        <x:v>10</x:v>
      </x:c>
      <x:c r="C11" s="12" t="n">
        <x:v>1</x:v>
      </x:c>
    </x:row>
    <x:row r="12">
      <x:c r="A12" s="12" t="str">
        <x:v>拍照禮儀與景點風險</x:v>
      </x:c>
      <x:c r="B12" s="12" t="n">
        <x:v>10</x:v>
      </x:c>
      <x:c r="C12" s="12" t="n">
        <x:v>4</x:v>
      </x:c>
    </x:row>
    <x:row r="13">
      <x:c r="A13" s="12" t="str">
        <x:v>租車與駕照</x:v>
      </x:c>
      <x:c r="B13" s="12" t="n">
        <x:v>10</x:v>
      </x:c>
      <x:c r="C13" s="12" t="n">
        <x:v>4</x:v>
      </x:c>
    </x:row>
    <x:row r="14">
      <x:c r="A14" s="12" t="str">
        <x:v>行程路線</x:v>
      </x:c>
      <x:c r="B14" s="12" t="n">
        <x:v>10</x:v>
      </x:c>
      <x:c r="C14" s="12" t="n">
        <x:v>0</x:v>
      </x:c>
    </x:row>
    <x:row r="15">
      <x:c r="A15" s="12" t="str">
        <x:v>雪道與天氣</x:v>
      </x:c>
      <x:c r="B15" s="12" t="n">
        <x:v>10</x:v>
      </x:c>
      <x:c r="C15" s="12" t="n">
        <x:v>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fbeb3b436d44817"/>
  <x:tableParts count="1">
    <x:tablePart xmlns:r="http://schemas.openxmlformats.org/officeDocument/2006/relationships" r:id="R4c9a070c46f44d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34" hidden="0" customWidth="1"/>
    <x:col min="5" max="5" width="26" hidden="0" customWidth="1"/>
    <x:col min="6" max="6" width="58" hidden="0" customWidth="1"/>
    <x:col min="7" max="7" width="40" hidden="0" customWidth="1"/>
    <x:col min="8" max="8" width="10" hidden="0" customWidth="1"/>
    <x:col min="9" max="9" width="12" hidden="0" customWidth="1"/>
    <x:col min="10" max="10" width="18" hidden="0" customWidth="1"/>
    <x:col min="11" max="11" width="22" hidden="0" customWidth="1"/>
    <x:col min="12" max="12" width="42" hidden="0" customWidth="1"/>
  </x:cols>
  <x:sheetData>
    <x:row r="1">
      <x:c r="A1" s="17" t="str">
        <x:v>ID</x:v>
      </x:c>
      <x:c r="B1" s="17" t="str">
        <x:v>大分類</x:v>
      </x:c>
      <x:c r="C1" s="17" t="str">
        <x:v>子分類</x:v>
      </x:c>
      <x:c r="D1" s="17" t="str">
        <x:v>匿名化問題</x:v>
      </x:c>
      <x:c r="E1" s="17" t="str">
        <x:v>觸發關鍵字</x:v>
      </x:c>
      <x:c r="F1" s="17" t="str">
        <x:v>標準答案</x:v>
      </x:c>
      <x:c r="G1" s="17" t="str">
        <x:v>LINE短答</x:v>
      </x:c>
      <x:c r="H1" s="17" t="str">
        <x:v>風險等級</x:v>
      </x:c>
      <x:c r="I1" s="17" t="str">
        <x:v>需官方查證</x:v>
      </x:c>
      <x:c r="J1" s="17" t="str">
        <x:v>可用用途</x:v>
      </x:c>
      <x:c r="K1" s="17" t="str">
        <x:v>導流建議</x:v>
      </x:c>
      <x:c r="L1" s="17" t="str">
        <x:v>來源依據</x:v>
      </x:c>
    </x:row>
    <x:row r="2">
      <x:c r="A2" s="22" t="str">
        <x:v>FAQ-001</x:v>
      </x:c>
      <x:c r="B2" s="22" t="str">
        <x:v>租車與駕照</x:v>
      </x:c>
      <x:c r="C2" s="22" t="str">
        <x:v>台灣駕照</x:v>
      </x:c>
      <x:c r="D2" s="22" t="str">
        <x:v>台灣人在日本／北海道租車需要國際駕照嗎？</x:v>
      </x:c>
      <x:c r="E2" s="22" t="str">
        <x:v>台灣駕照、國際駕照、日文譯本</x:v>
      </x:c>
      <x:c r="F2" s="22" t="str">
        <x:v>台灣駕照在日本通常不是使用一般國際駕照模式，而是攜帶台灣駕照正本、日文譯本與護照。不同租車公司可能會再要求預約人信用卡或其他資料，出發前應向租車公司確認。</x:v>
      </x:c>
      <x:c r="G2" s="22" t="str">
        <x:v>台灣旅客通常需準備：台灣駕照正本＋日文譯本＋護照。不要只帶一般國際駕照，租車前請再確認店家要求。</x:v>
      </x:c>
      <x:c r="H2" s="22" t="str">
        <x:v>高</x:v>
      </x:c>
      <x:c r="I2" s="22" t="str">
        <x:v>是</x:v>
      </x:c>
      <x:c r="J2" s="22" t="str">
        <x:v>LINE Bot／出發前提醒</x:v>
      </x:c>
      <x:c r="K2" s="22" t="str"/>
      <x:c r="L2" s="22" t="str">
        <x:v>由兩份北海道 LINE 群組聊天紀錄萃取問題類型後重寫；已移除暱稱、日期、原文與個人行程細節。</x:v>
      </x:c>
    </x:row>
    <x:row r="3">
      <x:c r="A3" s="22" t="str">
        <x:v>FAQ-002</x:v>
      </x:c>
      <x:c r="B3" s="22" t="str">
        <x:v>租車與駕照</x:v>
      </x:c>
      <x:c r="C3" s="22" t="str">
        <x:v>日文譯本</x:v>
      </x:c>
      <x:c r="D3" s="22" t="str">
        <x:v>日文譯本要去哪裡申請？租車時一定要帶正本嗎？</x:v>
      </x:c>
      <x:c r="E3" s="22" t="str">
        <x:v>日文譯本、JAF、駕照正本</x:v>
      </x:c>
      <x:c r="F3" s="22" t="str">
        <x:v>日文譯本需使用日本認可機構或租車公司接受的格式。租車與駕駛時應同時攜帶駕照正本、日文譯本與護照；影本或手機照片通常不能取代正本。</x:v>
      </x:c>
      <x:c r="G3" s="22" t="str">
        <x:v>請帶駕照正本、日文譯本、護照三樣。譯本來源與格式請以租車公司／官方規定為準。</x:v>
      </x:c>
      <x:c r="H3" s="22" t="str">
        <x:v>高</x:v>
      </x:c>
      <x:c r="I3" s="22" t="str">
        <x:v>是</x:v>
      </x:c>
      <x:c r="J3" s="22" t="str">
        <x:v>LINE Bot／租車 FAQ</x:v>
      </x:c>
      <x:c r="K3" s="22" t="str"/>
      <x:c r="L3" s="22" t="str">
        <x:v>由兩份北海道 LINE 群組聊天紀錄萃取問題類型後重寫；已移除暱稱、日期、原文與個人行程細節。</x:v>
      </x:c>
    </x:row>
    <x:row r="4">
      <x:c r="A4" s="22" t="str">
        <x:v>FAQ-003</x:v>
      </x:c>
      <x:c r="B4" s="22" t="str">
        <x:v>租車與駕照</x:v>
      </x:c>
      <x:c r="C4" s="22" t="str">
        <x:v>預約確認</x:v>
      </x:c>
      <x:c r="D4" s="22" t="str">
        <x:v>租車預約很早，但客服說晚一點再付款，這樣車有保留嗎？</x:v>
      </x:c>
      <x:c r="E4" s="22" t="str">
        <x:v>預約、付款、保留車、信用卡</x:v>
      </x:c>
      <x:c r="F4" s="22" t="str">
        <x:v>有些租車業者會因系統、付款或信用卡退款期限，將付款時間安排在較接近出發日。是否已保留車輛，要以業者提供的預約確認訊息為準。建議保存對話、訂單號與車級確認內容。</x:v>
      </x:c>
      <x:c r="G4" s="22" t="str">
        <x:v>先看是否有預約確認或訂單號。若客服明確說已保留，保存截圖；不確定就直接請對方用文字確認車級與取車日。</x:v>
      </x:c>
      <x:c r="H4" s="22" t="str">
        <x:v>中</x:v>
      </x:c>
      <x:c r="I4" s="22" t="str">
        <x:v>是</x:v>
      </x:c>
      <x:c r="J4" s="22" t="str">
        <x:v>客服 SOP</x:v>
      </x:c>
      <x:c r="K4" s="22" t="str"/>
      <x:c r="L4" s="22" t="str">
        <x:v>由兩份北海道 LINE 群組聊天紀錄萃取問題類型後重寫；已移除暱稱、日期、原文與個人行程細節。</x:v>
      </x:c>
    </x:row>
    <x:row r="5">
      <x:c r="A5" s="22" t="str">
        <x:v>FAQ-004</x:v>
      </x:c>
      <x:c r="B5" s="22" t="str">
        <x:v>租車與駕照</x:v>
      </x:c>
      <x:c r="C5" s="22" t="str">
        <x:v>車款選擇</x:v>
      </x:c>
      <x:c r="D5" s="22" t="str">
        <x:v>多人家庭自駕要租一台大車還是兩台車？</x:v>
      </x:c>
      <x:c r="E5" s="22" t="str">
        <x:v>七人、八人、行李、Alphard、Vellfire</x:v>
      </x:c>
      <x:c r="F5" s="22" t="str">
        <x:v>人數多時要同時考慮座位與行李空間。七人車滿座後行李空間常不足，冬季衣物與雪具更占空間。若是多位大人加長輩小孩，兩台車或包車可能比硬塞一台車更安全。</x:v>
      </x:c>
      <x:c r="G5" s="22" t="str">
        <x:v>不要只看座位數，要看行李。七人滿座常放不下大行李，冬天建議先算行李量，必要時租兩台或包車。</x:v>
      </x:c>
      <x:c r="H5" s="22" t="str">
        <x:v>中</x:v>
      </x:c>
      <x:c r="I5" s="22" t="str">
        <x:v>否</x:v>
      </x:c>
      <x:c r="J5" s="22" t="str">
        <x:v>租車導流</x:v>
      </x:c>
      <x:c r="K5" s="22" t="str"/>
      <x:c r="L5" s="22" t="str">
        <x:v>由兩份北海道 LINE 群組聊天紀錄萃取問題類型後重寫；已移除暱稱、日期、原文與個人行程細節。</x:v>
      </x:c>
    </x:row>
    <x:row r="6">
      <x:c r="A6" s="22" t="str">
        <x:v>FAQ-005</x:v>
      </x:c>
      <x:c r="B6" s="22" t="str">
        <x:v>租車與駕照</x:v>
      </x:c>
      <x:c r="C6" s="22" t="str">
        <x:v>雪胎</x:v>
      </x:c>
      <x:c r="D6" s="22" t="str">
        <x:v>租車網站沒有顯示雪胎選項，冬天怎麼確認？</x:v>
      </x:c>
      <x:c r="E6" s="22" t="str">
        <x:v>雪胎、冬胎、スタッドレス、租車網站</x:v>
      </x:c>
      <x:c r="F6" s="22" t="str">
        <x:v>北海道冬季租車通常會配置冬胎，但跨區域或非雪國地區取車時不一定。若網站沒有明確顯示，應寫信或 LINE 詢問租車公司，確認是否為スタッドレスタイヤ以及是否需加價。</x:v>
      </x:c>
      <x:c r="G6" s="22" t="str">
        <x:v>冬天一定要問清楚：是否含スタッドレスタイヤ。網站沒寫就直接問店家，不要自己猜。</x:v>
      </x:c>
      <x:c r="H6" s="22" t="str">
        <x:v>高</x:v>
      </x:c>
      <x:c r="I6" s="22" t="str">
        <x:v>是</x:v>
      </x:c>
      <x:c r="J6" s="22" t="str">
        <x:v>LINE Bot／雪季提醒</x:v>
      </x:c>
      <x:c r="K6" s="22" t="str"/>
      <x:c r="L6" s="22" t="str">
        <x:v>由兩份北海道 LINE 群組聊天紀錄萃取問題類型後重寫；已移除暱稱、日期、原文與個人行程細節。</x:v>
      </x:c>
    </x:row>
    <x:row r="7">
      <x:c r="A7" s="22" t="str">
        <x:v>FAQ-006</x:v>
      </x:c>
      <x:c r="B7" s="22" t="str">
        <x:v>租車與駕照</x:v>
      </x:c>
      <x:c r="C7" s="22" t="str">
        <x:v>ETC</x:v>
      </x:c>
      <x:c r="D7" s="22" t="str">
        <x:v>北海道自駕需要租 ETC 嗎？</x:v>
      </x:c>
      <x:c r="E7" s="22" t="str">
        <x:v>ETC、高速公路、收費站</x:v>
      </x:c>
      <x:c r="F7" s="22" t="str">
        <x:v>若行程會多次使用高速公路，ETC 可減少收費站停等與現金支付麻煩。若主要在旭川、美瑛、富良野市區與鄉間移動，用到高速的頻率較低，可視路線決定。</x:v>
      </x:c>
      <x:c r="G7" s="22" t="str">
        <x:v>會常跑高速就租 ETC；主要跑旭川美瑛富良野可視行程決定。長距離移動建議加租比較省心。</x:v>
      </x:c>
      <x:c r="H7" s="22" t="str">
        <x:v>低</x:v>
      </x:c>
      <x:c r="I7" s="22" t="str">
        <x:v>否</x:v>
      </x:c>
      <x:c r="J7" s="22" t="str">
        <x:v>行程規劃</x:v>
      </x:c>
      <x:c r="K7" s="22" t="str"/>
      <x:c r="L7" s="22" t="str">
        <x:v>由兩份北海道 LINE 群組聊天紀錄萃取問題類型後重寫；已移除暱稱、日期、原文與個人行程細節。</x:v>
      </x:c>
    </x:row>
    <x:row r="8">
      <x:c r="A8" s="22" t="str">
        <x:v>FAQ-007</x:v>
      </x:c>
      <x:c r="B8" s="22" t="str">
        <x:v>租車與駕照</x:v>
      </x:c>
      <x:c r="C8" s="22" t="str">
        <x:v>取還車</x:v>
      </x:c>
      <x:c r="D8" s="22" t="str">
        <x:v>航班很晚抵達，取車店關門怎麼辦？</x:v>
      </x:c>
      <x:c r="E8" s="22" t="str">
        <x:v>晚班機、取車、營業時間、機場</x:v>
      </x:c>
      <x:c r="F8" s="22" t="str">
        <x:v>租車店通常有固定營業時間，晚到不一定能取車。若班機延誤或抵達時間接近關門，應立即通知租車公司，確認是否能延後取車、改隔天取車或改機場接送。</x:v>
      </x:c>
      <x:c r="G8" s="22" t="str">
        <x:v>班機晚到請立刻聯絡租車公司，不要到現場才發現關門。確認是否能延後取車或改隔天。</x:v>
      </x:c>
      <x:c r="H8" s="22" t="str">
        <x:v>中</x:v>
      </x:c>
      <x:c r="I8" s="22" t="str">
        <x:v>是</x:v>
      </x:c>
      <x:c r="J8" s="22" t="str">
        <x:v>客服 SOP</x:v>
      </x:c>
      <x:c r="K8" s="22" t="str"/>
      <x:c r="L8" s="22" t="str">
        <x:v>由兩份北海道 LINE 群組聊天紀錄萃取問題類型後重寫；已移除暱稱、日期、原文與個人行程細節。</x:v>
      </x:c>
    </x:row>
    <x:row r="9">
      <x:c r="A9" s="22" t="str">
        <x:v>FAQ-008</x:v>
      </x:c>
      <x:c r="B9" s="22" t="str">
        <x:v>租車與駕照</x:v>
      </x:c>
      <x:c r="C9" s="22" t="str">
        <x:v>保險</x:v>
      </x:c>
      <x:c r="D9" s="22" t="str">
        <x:v>租車保險要不要加到最滿？</x:v>
      </x:c>
      <x:c r="E9" s="22" t="str">
        <x:v>保險、免責、NOC、安心方案</x:v>
      </x:c>
      <x:c r="F9" s="22" t="str">
        <x:v>外國自駕風險較高，尤其冬季雪道、停車場擦撞、右轉與一時停止容易出事。若預算許可，建議選擇較完整的免責補償與 NOC 補償，但仍要看除外條款，例如違規、酒駕、未報警等可能不賠。</x:v>
      </x:c>
      <x:c r="G9" s="22" t="str">
        <x:v>冬天北海道自駕建議保險買完整一點，但保險不是萬能。發生事故仍要報警、聯絡租車公司，不要私下處理。</x:v>
      </x:c>
      <x:c r="H9" s="22" t="str">
        <x:v>高</x:v>
      </x:c>
      <x:c r="I9" s="22" t="str">
        <x:v>是</x:v>
      </x:c>
      <x:c r="J9" s="22" t="str">
        <x:v>租車導流</x:v>
      </x:c>
      <x:c r="K9" s="22" t="str"/>
      <x:c r="L9" s="22" t="str">
        <x:v>由兩份北海道 LINE 群組聊天紀錄萃取問題類型後重寫；已移除暱稱、日期、原文與個人行程細節。</x:v>
      </x:c>
    </x:row>
    <x:row r="10">
      <x:c r="A10" s="22" t="str">
        <x:v>FAQ-009</x:v>
      </x:c>
      <x:c r="B10" s="22" t="str">
        <x:v>租車與駕照</x:v>
      </x:c>
      <x:c r="C10" s="22" t="str">
        <x:v>露營車</x:v>
      </x:c>
      <x:c r="D10" s="22" t="str">
        <x:v>露營車或高車身在札幌市區停車要注意什麼？</x:v>
      </x:c>
      <x:c r="E10" s="22" t="str">
        <x:v>露營車、限高、停車塔、平面停車場</x:v>
      </x:c>
      <x:c r="F10" s="22" t="str">
        <x:v>札幌市區很多停車場是機械式或停車塔，對車高有限制。露營車、Hiace、高車頂車型應優先查平面停車場，並確認限高、寬度、營業時間與能否過夜停放。</x:v>
      </x:c>
      <x:c r="G10" s="22" t="str">
        <x:v>高車身不要隨便開進停車塔。先查限高，優先找平面停車場，準備備用停車點。</x:v>
      </x:c>
      <x:c r="H10" s="22" t="str">
        <x:v>中</x:v>
      </x:c>
      <x:c r="I10" s="22" t="str">
        <x:v>否</x:v>
      </x:c>
      <x:c r="J10" s="22" t="str">
        <x:v>LINE Bot／停車地圖</x:v>
      </x:c>
      <x:c r="K10" s="22" t="str"/>
      <x:c r="L10" s="22" t="str">
        <x:v>由兩份北海道 LINE 群組聊天紀錄萃取問題類型後重寫；已移除暱稱、日期、原文與個人行程細節。</x:v>
      </x:c>
    </x:row>
    <x:row r="11">
      <x:c r="A11" s="22" t="str">
        <x:v>FAQ-010</x:v>
      </x:c>
      <x:c r="B11" s="22" t="str">
        <x:v>租車與駕照</x:v>
      </x:c>
      <x:c r="C11" s="22" t="str">
        <x:v>租車公司溝通</x:v>
      </x:c>
      <x:c r="D11" s="22" t="str">
        <x:v>租車時中文客服是不是比較重要？</x:v>
      </x:c>
      <x:c r="E11" s="22" t="str">
        <x:v>中文客服、租車公司、LINE客服</x:v>
      </x:c>
      <x:c r="F11" s="22" t="str">
        <x:v>中文客服在航班延誤、事故、刮傷、保險確認時很有幫助。但仍要看車況、保險範圍、緊急聯絡方式與取還車流程。不要只因為中文方便就忽略合約條款。</x:v>
      </x:c>
      <x:c r="G11" s="22" t="str">
        <x:v>中文客服很加分，但仍要確認保險、車況、緊急電話與事故流程。方便溝通不等於所有風險都免除。</x:v>
      </x:c>
      <x:c r="H11" s="22" t="str">
        <x:v>中</x:v>
      </x:c>
      <x:c r="I11" s="22" t="str">
        <x:v>否</x:v>
      </x:c>
      <x:c r="J11" s="22" t="str">
        <x:v>租車合作</x:v>
      </x:c>
      <x:c r="K11" s="22" t="str"/>
      <x:c r="L11" s="22" t="str">
        <x:v>由兩份北海道 LINE 群組聊天紀錄萃取問題類型後重寫；已移除暱稱、日期、原文與個人行程細節。</x:v>
      </x:c>
    </x:row>
    <x:row r="12">
      <x:c r="A12" s="22" t="str">
        <x:v>FAQ-011</x:v>
      </x:c>
      <x:c r="B12" s="22" t="str">
        <x:v>交通法規</x:v>
      </x:c>
      <x:c r="C12" s="22" t="str">
        <x:v>左側通行</x:v>
      </x:c>
      <x:c r="D12" s="22" t="str">
        <x:v>日本是左側通行，台灣人最容易錯在哪裡？</x:v>
      </x:c>
      <x:c r="E12" s="22" t="str">
        <x:v>左側通行、右駕、逆向、車道</x:v>
      </x:c>
      <x:c r="F12" s="22" t="str">
        <x:v>台灣駕駛最容易在轉彎、出停車場、加油站離開、無號誌小路匯入時，短暫忘記要靠左。剛取車前 30 分鐘要特別慢，副駕可協助提醒。</x:v>
      </x:c>
      <x:c r="G12" s="22" t="str">
        <x:v>日本靠左行駛。最容易錯在轉彎後、出停車場、加油站離開時，剛取車前 30 分鐘請刻意放慢。</x:v>
      </x:c>
      <x:c r="H12" s="22" t="str">
        <x:v>高</x:v>
      </x:c>
      <x:c r="I12" s="22" t="str">
        <x:v>是</x:v>
      </x:c>
      <x:c r="J12" s="22" t="str">
        <x:v>LINE Bot／自駕前提醒</x:v>
      </x:c>
      <x:c r="K12" s="22" t="str"/>
      <x:c r="L12" s="22" t="str">
        <x:v>由兩份北海道 LINE 群組聊天紀錄萃取問題類型後重寫；已移除暱稱、日期、原文與個人行程細節。</x:v>
      </x:c>
    </x:row>
    <x:row r="13">
      <x:c r="A13" s="22" t="str">
        <x:v>FAQ-012</x:v>
      </x:c>
      <x:c r="B13" s="22" t="str">
        <x:v>交通法規</x:v>
      </x:c>
      <x:c r="C13" s="22" t="str">
        <x:v>一時停止</x:v>
      </x:c>
      <x:c r="D13" s="22" t="str">
        <x:v>看到止まれ或紅色倒三角形要怎麼做？</x:v>
      </x:c>
      <x:c r="E13" s="22" t="str">
        <x:v>止まれ、一時停止、紅色倒三角、停止線</x:v>
      </x:c>
      <x:c r="F13" s="22" t="str">
        <x:v>看到止まれ必須在停止線前完全停止，不能只是慢慢滑過。確認左右與主線車輛安全後再出發。北海道郊區主線車速可能較快，不應把車頭推出太多。</x:v>
      </x:c>
      <x:c r="G13" s="22" t="str">
        <x:v>止まれ＝完全停止。停在線前、左右確認、主線車先過，不要只減速滑過。</x:v>
      </x:c>
      <x:c r="H13" s="22" t="str">
        <x:v>高</x:v>
      </x:c>
      <x:c r="I13" s="22" t="str">
        <x:v>是</x:v>
      </x:c>
      <x:c r="J13" s="22" t="str">
        <x:v>LINE Bot／交通法規</x:v>
      </x:c>
      <x:c r="K13" s="22" t="str"/>
      <x:c r="L13" s="22" t="str">
        <x:v>由兩份北海道 LINE 群組聊天紀錄萃取問題類型後重寫；已移除暱稱、日期、原文與個人行程細節。</x:v>
      </x:c>
    </x:row>
    <x:row r="14">
      <x:c r="A14" s="22" t="str">
        <x:v>FAQ-013</x:v>
      </x:c>
      <x:c r="B14" s="22" t="str">
        <x:v>交通法規</x:v>
      </x:c>
      <x:c r="C14" s="22" t="str">
        <x:v>右轉禮讓</x:v>
      </x:c>
      <x:c r="D14" s="22" t="str">
        <x:v>日本右轉時要注意什麼？</x:v>
      </x:c>
      <x:c r="E14" s="22" t="str">
        <x:v>右轉、直行車、對向車</x:v>
      </x:c>
      <x:c r="F14" s="22" t="str">
        <x:v>日本右轉要禮讓對向直行車與行人。不要用台灣搶快習慣切入，視線不清或對向車速快時寧可多等一輪。若有右轉燈，依燈號通行。</x:v>
      </x:c>
      <x:c r="G14" s="22" t="str">
        <x:v>右轉先讓對向直行車與行人。看不清楚就等，不要硬切。</x:v>
      </x:c>
      <x:c r="H14" s="22" t="str">
        <x:v>高</x:v>
      </x:c>
      <x:c r="I14" s="22" t="str">
        <x:v>是</x:v>
      </x:c>
      <x:c r="J14" s="22" t="str">
        <x:v>LINE Bot／自駕法規</x:v>
      </x:c>
      <x:c r="K14" s="22" t="str"/>
      <x:c r="L14" s="22" t="str">
        <x:v>由兩份北海道 LINE 群組聊天紀錄萃取問題類型後重寫；已移除暱稱、日期、原文與個人行程細節。</x:v>
      </x:c>
    </x:row>
    <x:row r="15">
      <x:c r="A15" s="22" t="str">
        <x:v>FAQ-014</x:v>
      </x:c>
      <x:c r="B15" s="22" t="str">
        <x:v>交通法規</x:v>
      </x:c>
      <x:c r="C15" s="22" t="str">
        <x:v>停車場出入口</x:v>
      </x:c>
      <x:c r="D15" s="22" t="str">
        <x:v>從停車場或小路開出來，主線車會讓我嗎？</x:v>
      </x:c>
      <x:c r="E15" s="22" t="str">
        <x:v>停車場、駛出、主線、小路</x:v>
      </x:c>
      <x:c r="F15" s="22" t="str">
        <x:v>不要期待主線車會讓。日本駕駛通常預期支線車會停住等待，因此從停車場、小路、便利商店出入口駛出時，應完全停止並確認雙向安全。</x:v>
      </x:c>
      <x:c r="G15" s="22" t="str">
        <x:v>從停車場出來一定要讓道路上的車。不要車頭慢慢凸出去，主線車可能不會減速。</x:v>
      </x:c>
      <x:c r="H15" s="22" t="str">
        <x:v>高</x:v>
      </x:c>
      <x:c r="I15" s="22" t="str">
        <x:v>是</x:v>
      </x:c>
      <x:c r="J15" s="22" t="str">
        <x:v>LINE Bot／事故預防</x:v>
      </x:c>
      <x:c r="K15" s="22" t="str"/>
      <x:c r="L15" s="22" t="str">
        <x:v>由兩份北海道 LINE 群組聊天紀錄萃取問題類型後重寫；已移除暱稱、日期、原文與個人行程細節。</x:v>
      </x:c>
    </x:row>
    <x:row r="16">
      <x:c r="A16" s="22" t="str">
        <x:v>FAQ-015</x:v>
      </x:c>
      <x:c r="B16" s="22" t="str">
        <x:v>交通法規</x:v>
      </x:c>
      <x:c r="C16" s="22" t="str">
        <x:v>行人優先</x:v>
      </x:c>
      <x:c r="D16" s="22" t="str">
        <x:v>日本斑馬線一定要讓行人嗎？</x:v>
      </x:c>
      <x:c r="E16" s="22" t="str">
        <x:v>斑馬線、行人優先、橫斷步道</x:v>
      </x:c>
      <x:c r="F16" s="22" t="str">
        <x:v>原則上行人優先。接近斑馬線時應減速確認，若有行人準備通過，應停止讓行。旅客不熟路況時，寧可更保守。</x:v>
      </x:c>
      <x:c r="G16" s="22" t="str">
        <x:v>斑馬線看到行人要讓。接近路口先減速，尤其市區、學校、觀光區。</x:v>
      </x:c>
      <x:c r="H16" s="22" t="str">
        <x:v>高</x:v>
      </x:c>
      <x:c r="I16" s="22" t="str">
        <x:v>是</x:v>
      </x:c>
      <x:c r="J16" s="22" t="str">
        <x:v>LINE Bot／自駕法規</x:v>
      </x:c>
      <x:c r="K16" s="22" t="str"/>
      <x:c r="L16" s="22" t="str">
        <x:v>由兩份北海道 LINE 群組聊天紀錄萃取問題類型後重寫；已移除暱稱、日期、原文與個人行程細節。</x:v>
      </x:c>
    </x:row>
    <x:row r="17">
      <x:c r="A17" s="22" t="str">
        <x:v>FAQ-016</x:v>
      </x:c>
      <x:c r="B17" s="22" t="str">
        <x:v>交通法規</x:v>
      </x:c>
      <x:c r="C17" s="22" t="str">
        <x:v>車道線</x:v>
      </x:c>
      <x:c r="D17" s="22" t="str">
        <x:v>日本道路實線、黃線可以跨越嗎？</x:v>
      </x:c>
      <x:c r="E17" s="22" t="str">
        <x:v>實線、黃線、變換車道、跨線</x:v>
      </x:c>
      <x:c r="F17" s="22" t="str">
        <x:v>實線與黃線通常代表不可任意跨越或變換車道，尤其接近路口、右轉道與禁止變換區域。若已走錯車道，不要硬切，先照規則前進再找安全地點迴轉或改路線。</x:v>
      </x:c>
      <x:c r="G17" s="22" t="str">
        <x:v>走錯車道不要硬切。實線／黃線不要跨，先照車道走，下一個安全處再調整。</x:v>
      </x:c>
      <x:c r="H17" s="22" t="str">
        <x:v>高</x:v>
      </x:c>
      <x:c r="I17" s="22" t="str">
        <x:v>是</x:v>
      </x:c>
      <x:c r="J17" s="22" t="str">
        <x:v>LINE Bot／交通法規</x:v>
      </x:c>
      <x:c r="K17" s="22" t="str"/>
      <x:c r="L17" s="22" t="str">
        <x:v>由兩份北海道 LINE 群組聊天紀錄萃取問題類型後重寫；已移除暱稱、日期、原文與個人行程細節。</x:v>
      </x:c>
    </x:row>
    <x:row r="18">
      <x:c r="A18" s="22" t="str">
        <x:v>FAQ-017</x:v>
      </x:c>
      <x:c r="B18" s="22" t="str">
        <x:v>交通法規</x:v>
      </x:c>
      <x:c r="C18" s="22" t="str">
        <x:v>速限</x:v>
      </x:c>
      <x:c r="D18" s="22" t="str">
        <x:v>北海道郊區路很大，可以開快一點嗎？</x:v>
      </x:c>
      <x:c r="E18" s="22" t="str">
        <x:v>速限、郊區、超速、測速</x:v>
      </x:c>
      <x:c r="F18" s="22" t="str">
        <x:v>北海道道路寬、距離長，但仍須遵守速限。冬季、夜間、郊區野生動物、黑冰與吹雪都會增加風險。旅客不熟路況時應比當地車更保守。</x:v>
      </x:c>
      <x:c r="G18" s="22" t="str">
        <x:v>路大不代表可以開快。北海道距離長、野生動物多、冬天有黑冰，請照速限並保守駕駛。</x:v>
      </x:c>
      <x:c r="H18" s="22" t="str">
        <x:v>高</x:v>
      </x:c>
      <x:c r="I18" s="22" t="str">
        <x:v>是</x:v>
      </x:c>
      <x:c r="J18" s="22" t="str">
        <x:v>LINE Bot／自駕提醒</x:v>
      </x:c>
      <x:c r="K18" s="22" t="str"/>
      <x:c r="L18" s="22" t="str">
        <x:v>由兩份北海道 LINE 群組聊天紀錄萃取問題類型後重寫；已移除暱稱、日期、原文與個人行程細節。</x:v>
      </x:c>
    </x:row>
    <x:row r="19">
      <x:c r="A19" s="22" t="str">
        <x:v>FAQ-018</x:v>
      </x:c>
      <x:c r="B19" s="22" t="str">
        <x:v>交通法規</x:v>
      </x:c>
      <x:c r="C19" s="22" t="str">
        <x:v>手機導航</x:v>
      </x:c>
      <x:c r="D19" s="22" t="str">
        <x:v>開車時可以邊看手機導航邊操作嗎？</x:v>
      </x:c>
      <x:c r="E19" s="22" t="str">
        <x:v>手機、導航、Google Maps、駕駛中</x:v>
      </x:c>
      <x:c r="F19" s="22" t="str">
        <x:v>駕駛中操作手機或分心看螢幕會增加事故風險，也可能違規。出發前先設定好目的地，副駕協助操作，臨時要改路線時應先安全停車。</x:v>
      </x:c>
      <x:c r="G19" s="22" t="str">
        <x:v>導航出發前先設好。駕駛不要邊開邊操作手機，改路線請先停安全處。</x:v>
      </x:c>
      <x:c r="H19" s="22" t="str">
        <x:v>高</x:v>
      </x:c>
      <x:c r="I19" s="22" t="str">
        <x:v>是</x:v>
      </x:c>
      <x:c r="J19" s="22" t="str">
        <x:v>LINE Bot／自駕提醒</x:v>
      </x:c>
      <x:c r="K19" s="22" t="str"/>
      <x:c r="L19" s="22" t="str">
        <x:v>由兩份北海道 LINE 群組聊天紀錄萃取問題類型後重寫；已移除暱稱、日期、原文與個人行程細節。</x:v>
      </x:c>
    </x:row>
    <x:row r="20">
      <x:c r="A20" s="22" t="str">
        <x:v>FAQ-019</x:v>
      </x:c>
      <x:c r="B20" s="22" t="str">
        <x:v>交通法規</x:v>
      </x:c>
      <x:c r="C20" s="22" t="str">
        <x:v>加油站進出</x:v>
      </x:c>
      <x:c r="D20" s="22" t="str">
        <x:v>加油站出來最容易犯什麼錯？</x:v>
      </x:c>
      <x:c r="E20" s="22" t="str">
        <x:v>加油站、出入口、靠左、油種</x:v>
      </x:c>
      <x:c r="F20" s="22" t="str">
        <x:v>加油站出入口容易忘記靠左、忽略主線車或選錯油種。離開前先確認車道方向與來車；加油前確認租車指定油種，多數汽油車為レギュラー，但仍以車輛標示為準。</x:v>
      </x:c>
      <x:c r="G20" s="22" t="str">
        <x:v>加油站出來先想『靠左』，確認主線來車。加油前看租車指定油種，不要亂加。</x:v>
      </x:c>
      <x:c r="H20" s="22" t="str">
        <x:v>高</x:v>
      </x:c>
      <x:c r="I20" s="22" t="str">
        <x:v>是</x:v>
      </x:c>
      <x:c r="J20" s="22" t="str">
        <x:v>LINE Bot／加油 FAQ</x:v>
      </x:c>
      <x:c r="K20" s="22" t="str"/>
      <x:c r="L20" s="22" t="str">
        <x:v>由兩份北海道 LINE 群組聊天紀錄萃取問題類型後重寫；已移除暱稱、日期、原文與個人行程細節。</x:v>
      </x:c>
    </x:row>
    <x:row r="21">
      <x:c r="A21" s="22" t="str">
        <x:v>FAQ-020</x:v>
      </x:c>
      <x:c r="B21" s="22" t="str">
        <x:v>交通法規</x:v>
      </x:c>
      <x:c r="C21" s="22" t="str">
        <x:v>燈號判斷</x:v>
      </x:c>
      <x:c r="D21" s="22" t="str">
        <x:v>綠燈時右轉一定可以直接轉嗎？</x:v>
      </x:c>
      <x:c r="E21" s="22" t="str">
        <x:v>綠燈、右轉燈、號誌、箭頭</x:v>
      </x:c>
      <x:c r="F21" s="22" t="str">
        <x:v>綠燈不代表可無條件右轉，仍要禮讓對向直行與行人。若有箭頭燈或右轉專用燈，依該燈號通行。路口複雜時不要搶，等明確可通行再動作。</x:v>
      </x:c>
      <x:c r="G21" s="22" t="str">
        <x:v>綠燈右轉仍要讓對向直行與行人。有右轉箭頭就依箭頭，不確定就等。</x:v>
      </x:c>
      <x:c r="H21" s="22" t="str">
        <x:v>高</x:v>
      </x:c>
      <x:c r="I21" s="22" t="str">
        <x:v>是</x:v>
      </x:c>
      <x:c r="J21" s="22" t="str">
        <x:v>LINE Bot／交通法規</x:v>
      </x:c>
      <x:c r="K21" s="22" t="str"/>
      <x:c r="L21" s="22" t="str">
        <x:v>由兩份北海道 LINE 群組聊天紀錄萃取問題類型後重寫；已移除暱稱、日期、原文與個人行程細節。</x:v>
      </x:c>
    </x:row>
    <x:row r="22">
      <x:c r="A22" s="22" t="str">
        <x:v>FAQ-021</x:v>
      </x:c>
      <x:c r="B22" s="22" t="str">
        <x:v>雪道與天氣</x:v>
      </x:c>
      <x:c r="C22" s="22" t="str">
        <x:v>12月雪駕</x:v>
      </x:c>
      <x:c r="D22" s="22" t="str">
        <x:v>12月初北海道自駕會不會危險？</x:v>
      </x:c>
      <x:c r="E22" s="22" t="str">
        <x:v>12月、積雪、自駕危險、雪駕</x:v>
      </x:c>
      <x:c r="F22" s="22" t="str">
        <x:v>12月初是否有積雪每年不同，但危險常不是厚雪，而是融雪後再結冰、清晨夜晚黑冰、橋上與陰影處。第一次雪駕建議白天移動、縮短車程、避免山路小路。</x:v>
      </x:c>
      <x:c r="G22" s="22" t="str">
        <x:v>12月初不一定到處厚雪，但黑冰更可怕。第一次雪駕請白天開、慢慢開、不要排夜間長距離。</x:v>
      </x:c>
      <x:c r="H22" s="22" t="str">
        <x:v>高</x:v>
      </x:c>
      <x:c r="I22" s="22" t="str">
        <x:v>是</x:v>
      </x:c>
      <x:c r="J22" s="22" t="str">
        <x:v>LINE Bot／天氣提醒</x:v>
      </x:c>
      <x:c r="K22" s="22" t="str"/>
      <x:c r="L22" s="22" t="str">
        <x:v>由兩份北海道 LINE 群組聊天紀錄萃取問題類型後重寫；已移除暱稱、日期、原文與個人行程細節。</x:v>
      </x:c>
    </x:row>
    <x:row r="23">
      <x:c r="A23" s="22" t="str">
        <x:v>FAQ-022</x:v>
      </x:c>
      <x:c r="B23" s="22" t="str">
        <x:v>雪道與天氣</x:v>
      </x:c>
      <x:c r="C23" s="22" t="str">
        <x:v>黑冰</x:v>
      </x:c>
      <x:c r="D23" s="22" t="str">
        <x:v>黑冰是什麼？怎麼判斷？</x:v>
      </x:c>
      <x:c r="E23" s="22" t="str">
        <x:v>黑冰、路面結冰、橋上、陰影</x:v>
      </x:c>
      <x:c r="F23" s="22" t="str">
        <x:v>黑冰是薄而透明的結冰路面，看起來像濕地或普通柏油，但摩擦力很低。常出現在橋上、隧道口、陰影處、清晨夜晚與融雪後降溫時。判斷困難時應減速並避免急煞急轉。</x:v>
      </x:c>
      <x:c r="G23" s="22" t="str">
        <x:v>看起來像濕路也可能是黑冰。橋上、隧道口、早晚、陰影處請特別慢，不急煞不急轉。</x:v>
      </x:c>
      <x:c r="H23" s="22" t="str">
        <x:v>高</x:v>
      </x:c>
      <x:c r="I23" s="22" t="str">
        <x:v>是</x:v>
      </x:c>
      <x:c r="J23" s="22" t="str">
        <x:v>LINE Bot／雪道教學</x:v>
      </x:c>
      <x:c r="K23" s="22" t="str"/>
      <x:c r="L23" s="22" t="str">
        <x:v>由兩份北海道 LINE 群組聊天紀錄萃取問題類型後重寫；已移除暱稱、日期、原文與個人行程細節。</x:v>
      </x:c>
    </x:row>
    <x:row r="24">
      <x:c r="A24" s="22" t="str">
        <x:v>FAQ-023</x:v>
      </x:c>
      <x:c r="B24" s="22" t="str">
        <x:v>雪道與天氣</x:v>
      </x:c>
      <x:c r="C24" s="22" t="str">
        <x:v>白茫</x:v>
      </x:c>
      <x:c r="D24" s="22" t="str">
        <x:v>遇到吹雪白茫怎麼辦？</x:v>
      </x:c>
      <x:c r="E24" s="22" t="str">
        <x:v>白茫、吹雪、暴風雪、能見度</x:v>
      </x:c>
      <x:c r="F24" s="22" t="str">
        <x:v>白茫時能見度與距離感會下降，不建議硬開。應打開車燈、降低速度、保持車距，尋找道之驛、便利商店、公共停車場等安全處暫停。避免停在道路中央或危險路肩。</x:v>
      </x:c>
      <x:c r="G24" s="22" t="str">
        <x:v>白茫不要硬開。開燈、慢速、找道之驛或便利商店暫停，不要停在道路中央。</x:v>
      </x:c>
      <x:c r="H24" s="22" t="str">
        <x:v>高</x:v>
      </x:c>
      <x:c r="I24" s="22" t="str">
        <x:v>是</x:v>
      </x:c>
      <x:c r="J24" s="22" t="str">
        <x:v>LINE Bot／救急</x:v>
      </x:c>
      <x:c r="K24" s="22" t="str"/>
      <x:c r="L24" s="22" t="str">
        <x:v>由兩份北海道 LINE 群組聊天紀錄萃取問題類型後重寫；已移除暱稱、日期、原文與個人行程細節。</x:v>
      </x:c>
    </x:row>
    <x:row r="25">
      <x:c r="A25" s="22" t="str">
        <x:v>FAQ-024</x:v>
      </x:c>
      <x:c r="B25" s="22" t="str">
        <x:v>雪道與天氣</x:v>
      </x:c>
      <x:c r="C25" s="22" t="str">
        <x:v>煞車</x:v>
      </x:c>
      <x:c r="D25" s="22" t="str">
        <x:v>雪道煞車要怎麼煞？</x:v>
      </x:c>
      <x:c r="E25" s="22" t="str">
        <x:v>煞車、急煞、打滑、ABS</x:v>
      </x:c>
      <x:c r="F25" s="22" t="str">
        <x:v>雪道駕駛重點是提前減速與柔和操作。避免急煞、急加速、急轉方向盤。下坡與路口前要提早放慢，拉長車距，讓 ABS 與車輛穩定系統有空間發揮。</x:v>
      </x:c>
      <x:c r="G25" s="22" t="str">
        <x:v>雪道不要急煞。提早減速、拉長車距、慢慢轉，所有動作都要柔和。</x:v>
      </x:c>
      <x:c r="H25" s="22" t="str">
        <x:v>高</x:v>
      </x:c>
      <x:c r="I25" s="22" t="str">
        <x:v>是</x:v>
      </x:c>
      <x:c r="J25" s="22" t="str">
        <x:v>LINE Bot／雪道教學</x:v>
      </x:c>
      <x:c r="K25" s="22" t="str"/>
      <x:c r="L25" s="22" t="str">
        <x:v>由兩份北海道 LINE 群組聊天紀錄萃取問題類型後重寫；已移除暱稱、日期、原文與個人行程細節。</x:v>
      </x:c>
    </x:row>
    <x:row r="26">
      <x:c r="A26" s="22" t="str">
        <x:v>FAQ-025</x:v>
      </x:c>
      <x:c r="B26" s="22" t="str">
        <x:v>雪道與天氣</x:v>
      </x:c>
      <x:c r="C26" s="22" t="str">
        <x:v>車距</x:v>
      </x:c>
      <x:c r="D26" s="22" t="str">
        <x:v>冬天北海道車距要拉多長？</x:v>
      </x:c>
      <x:c r="E26" s="22" t="str">
        <x:v>車距、追撞、雪道、煞車距離</x:v>
      </x:c>
      <x:c r="F26" s="22" t="str">
        <x:v>雪道煞車距離比乾燥路面長很多，尤其下坡、冰面與壓雪路。建議比平常多留數倍車距，看到前車煞車燈時不要跟太近。</x:v>
      </x:c>
      <x:c r="G26" s="22" t="str">
        <x:v>冬天車距請比平常多很多。前車煞車你不一定停得住，尤其冰面和下坡。</x:v>
      </x:c>
      <x:c r="H26" s="22" t="str">
        <x:v>高</x:v>
      </x:c>
      <x:c r="I26" s="22" t="str">
        <x:v>是</x:v>
      </x:c>
      <x:c r="J26" s="22" t="str">
        <x:v>LINE Bot／雪道提醒</x:v>
      </x:c>
      <x:c r="K26" s="22" t="str"/>
      <x:c r="L26" s="22" t="str">
        <x:v>由兩份北海道 LINE 群組聊天紀錄萃取問題類型後重寫；已移除暱稱、日期、原文與個人行程細節。</x:v>
      </x:c>
    </x:row>
    <x:row r="27">
      <x:c r="A27" s="22" t="str">
        <x:v>FAQ-026</x:v>
      </x:c>
      <x:c r="B27" s="22" t="str">
        <x:v>雪道與天氣</x:v>
      </x:c>
      <x:c r="C27" s="22" t="str">
        <x:v>山路</x:v>
      </x:c>
      <x:c r="D27" s="22" t="str">
        <x:v>冬天可以走 Google Map 推薦的小路或山路嗎？</x:v>
      </x:c>
      <x:c r="E27" s="22" t="str">
        <x:v>Google Map、小路、山路、捷徑</x:v>
      </x:c>
      <x:c r="F27" s="22" t="str">
        <x:v>冬季不建議盲目跟 Google Map 走小路、農道或山路。部分道路可能除雪不足、封閉或手機訊號不佳。優先選主要道路、國道、道道與有除雪的路線。</x:v>
      </x:c>
      <x:c r="G27" s="22" t="str">
        <x:v>冬天不要亂走捷徑小路。Google Map 省時間不一定安全，請優先走大路。</x:v>
      </x:c>
      <x:c r="H27" s="22" t="str">
        <x:v>高</x:v>
      </x:c>
      <x:c r="I27" s="22" t="str">
        <x:v>是</x:v>
      </x:c>
      <x:c r="J27" s="22" t="str">
        <x:v>LINE Bot／路線健檢</x:v>
      </x:c>
      <x:c r="K27" s="22" t="str"/>
      <x:c r="L27" s="22" t="str">
        <x:v>由兩份北海道 LINE 群組聊天紀錄萃取問題類型後重寫；已移除暱稱、日期、原文與個人行程細節。</x:v>
      </x:c>
    </x:row>
    <x:row r="28">
      <x:c r="A28" s="22" t="str">
        <x:v>FAQ-027</x:v>
      </x:c>
      <x:c r="B28" s="22" t="str">
        <x:v>雪道與天氣</x:v>
      </x:c>
      <x:c r="C28" s="22" t="str">
        <x:v>旭岳風速</x:v>
      </x:c>
      <x:c r="D28" s="22" t="str">
        <x:v>旭岳天氣只看溫度可以嗎？</x:v>
      </x:c>
      <x:c r="E28" s="22" t="str">
        <x:v>旭岳、風速、纜車、山上天氣</x:v>
      </x:c>
      <x:c r="F28" s="22" t="str">
        <x:v>旭岳等山區不能只看溫度，風速、能見度、降雪、纜車營運與裝備更重要。若風大或能見度差，應改市區或低風險行程。</x:v>
      </x:c>
      <x:c r="G28" s="22" t="str">
        <x:v>旭岳不要只看溫度。風速、能見度、纜車營運更重要，風大就改行程。</x:v>
      </x:c>
      <x:c r="H28" s="22" t="str">
        <x:v>高</x:v>
      </x:c>
      <x:c r="I28" s="22" t="str">
        <x:v>是</x:v>
      </x:c>
      <x:c r="J28" s="22" t="str">
        <x:v>LINE Bot／旭岳提醒</x:v>
      </x:c>
      <x:c r="K28" s="22" t="str"/>
      <x:c r="L28" s="22" t="str">
        <x:v>由兩份北海道 LINE 群組聊天紀錄萃取問題類型後重寫；已移除暱稱、日期、原文與個人行程細節。</x:v>
      </x:c>
    </x:row>
    <x:row r="29">
      <x:c r="A29" s="22" t="str">
        <x:v>FAQ-028</x:v>
      </x:c>
      <x:c r="B29" s="22" t="str">
        <x:v>雪道與天氣</x:v>
      </x:c>
      <x:c r="C29" s="22" t="str">
        <x:v>霧</x:v>
      </x:c>
      <x:c r="D29" s="22" t="str">
        <x:v>早上美瑛或富良野起霧，行程要怎麼調？</x:v>
      </x:c>
      <x:c r="E29" s="22" t="str">
        <x:v>霧、美瑛、富良野、能見度</x:v>
      </x:c>
      <x:c r="F29" s="22" t="str">
        <x:v>晨霧常影響拍照視野與駕駛能見度。若沒有時間壓力，可先安排室內景點、咖啡、道之驛或超市，等霧散再前往丘陵道路與展望點。</x:v>
      </x:c>
      <x:c r="G29" s="22" t="str">
        <x:v>起霧時不要硬衝景點。先去室內、道之驛或咖啡店，等能見度變好再上丘陵道路。</x:v>
      </x:c>
      <x:c r="H29" s="22" t="str">
        <x:v>中</x:v>
      </x:c>
      <x:c r="I29" s="22" t="str">
        <x:v>否</x:v>
      </x:c>
      <x:c r="J29" s="22" t="str">
        <x:v>行程備案</x:v>
      </x:c>
      <x:c r="K29" s="22" t="str"/>
      <x:c r="L29" s="22" t="str">
        <x:v>由兩份北海道 LINE 群組聊天紀錄萃取問題類型後重寫；已移除暱稱、日期、原文與個人行程細節。</x:v>
      </x:c>
    </x:row>
    <x:row r="30">
      <x:c r="A30" s="22" t="str">
        <x:v>FAQ-029</x:v>
      </x:c>
      <x:c r="B30" s="22" t="str">
        <x:v>雪道與天氣</x:v>
      </x:c>
      <x:c r="C30" s="22" t="str">
        <x:v>春季融雪</x:v>
      </x:c>
      <x:c r="D30" s="22" t="str">
        <x:v>春天北海道自駕就安全了嗎？</x:v>
      </x:c>
      <x:c r="E30" s="22" t="str">
        <x:v>融雪、春天、四月、五月</x:v>
      </x:c>
      <x:c r="F30" s="22" t="str">
        <x:v>春季白天融雪、晚上降溫，仍可能在清晨、橋上與陰影處結冰。山區與道東、道北殘雪期較長，不應完全用札幌市區天氣判斷全道。</x:v>
      </x:c>
      <x:c r="G30" s="22" t="str">
        <x:v>春天也可能早晚結冰。山區、道北、道東不要只看札幌天氣，清晨橋上仍要慢。</x:v>
      </x:c>
      <x:c r="H30" s="22" t="str">
        <x:v>中</x:v>
      </x:c>
      <x:c r="I30" s="22" t="str">
        <x:v>是</x:v>
      </x:c>
      <x:c r="J30" s="22" t="str">
        <x:v>LINE Bot／季節提醒</x:v>
      </x:c>
      <x:c r="K30" s="22" t="str"/>
      <x:c r="L30" s="22" t="str">
        <x:v>由兩份北海道 LINE 群組聊天紀錄萃取問題類型後重寫；已移除暱稱、日期、原文與個人行程細節。</x:v>
      </x:c>
    </x:row>
    <x:row r="31">
      <x:c r="A31" s="22" t="str">
        <x:v>FAQ-030</x:v>
      </x:c>
      <x:c r="B31" s="22" t="str">
        <x:v>雪道與天氣</x:v>
      </x:c>
      <x:c r="C31" s="22" t="str">
        <x:v>雪蟲</x:v>
      </x:c>
      <x:c r="D31" s="22" t="str">
        <x:v>雪蟲出現代表什麼？會影響旅遊嗎？</x:v>
      </x:c>
      <x:c r="E31" s="22" t="str">
        <x:v>雪蟲、蟲、初雪</x:v>
      </x:c>
      <x:c r="F31" s="22" t="str">
        <x:v>雪蟲常被視為北海道入冬前的季節訊號，可能短時間大量出現，對旅遊主要影響是戶外體感與拍照心情。騎車、走路或開窗時會比較困擾，但不是交通災害。</x:v>
      </x:c>
      <x:c r="G31" s="22" t="str">
        <x:v>雪蟲多半是季節現象，不是危險警報。怕蟲的話準備口罩、帽子，戶外拍照會比較受影響。</x:v>
      </x:c>
      <x:c r="H31" s="22" t="str">
        <x:v>低</x:v>
      </x:c>
      <x:c r="I31" s="22" t="str">
        <x:v>否</x:v>
      </x:c>
      <x:c r="J31" s="22" t="str">
        <x:v>社群內容</x:v>
      </x:c>
      <x:c r="K31" s="22" t="str"/>
      <x:c r="L31" s="22" t="str">
        <x:v>由兩份北海道 LINE 群組聊天紀錄萃取問題類型後重寫；已移除暱稱、日期、原文與個人行程細節。</x:v>
      </x:c>
    </x:row>
    <x:row r="32">
      <x:c r="A32" s="22" t="str">
        <x:v>FAQ-031</x:v>
      </x:c>
      <x:c r="B32" s="22" t="str">
        <x:v>事故救急</x:v>
      </x:c>
      <x:c r="C32" s="22" t="str">
        <x:v>車禍流程</x:v>
      </x:c>
      <x:c r="D32" s="22" t="str">
        <x:v>在北海道發生車禍第一步要做什麼？</x:v>
      </x:c>
      <x:c r="E32" s="22" t="str">
        <x:v>車禍、事故、撞車、110</x:v>
      </x:c>
      <x:c r="F32" s="22" t="str">
        <x:v>先確保人員安全並打雙黃燈。有人受傷打 119；交通事故應打 110 報警。不要私下和解或直接離開現場，並聯絡租車公司，拍照記錄車輛、車牌、現場與道路狀況。</x:v>
      </x:c>
      <x:c r="G32" s="22" t="str">
        <x:v>先保人命：受傷打119，事故打110。不要私下和解，聯絡租車公司並拍照保存。</x:v>
      </x:c>
      <x:c r="H32" s="22" t="str">
        <x:v>高</x:v>
      </x:c>
      <x:c r="I32" s="22" t="str">
        <x:v>是</x:v>
      </x:c>
      <x:c r="J32" s="22" t="str">
        <x:v>LINE Bot／事故救急</x:v>
      </x:c>
      <x:c r="K32" s="22" t="str"/>
      <x:c r="L32" s="22" t="str">
        <x:v>由兩份北海道 LINE 群組聊天紀錄萃取問題類型後重寫；已移除暱稱、日期、原文與個人行程細節。</x:v>
      </x:c>
    </x:row>
    <x:row r="33">
      <x:c r="A33" s="22" t="str">
        <x:v>FAQ-032</x:v>
      </x:c>
      <x:c r="B33" s="22" t="str">
        <x:v>事故救急</x:v>
      </x:c>
      <x:c r="C33" s="22" t="str">
        <x:v>租車刮傷</x:v>
      </x:c>
      <x:c r="D33" s="22" t="str">
        <x:v>租車刮傷或撞到雪堆，需要報警嗎？</x:v>
      </x:c>
      <x:c r="E33" s="22" t="str">
        <x:v>刮傷、雪堆、擦撞、報警</x:v>
      </x:c>
      <x:c r="F33" s="22" t="str">
        <x:v>只要涉及事故或車損，應依租車公司規定處理，通常需要報警取得事故紀錄，否則保險可能不適用。不要自行判斷小傷就不報。</x:v>
      </x:c>
      <x:c r="G33" s="22" t="str">
        <x:v>租車有車損就先聯絡租車公司，通常要報警。不要覺得小刮傷就自己處理。</x:v>
      </x:c>
      <x:c r="H33" s="22" t="str">
        <x:v>高</x:v>
      </x:c>
      <x:c r="I33" s="22" t="str">
        <x:v>是</x:v>
      </x:c>
      <x:c r="J33" s="22" t="str">
        <x:v>LINE Bot／租車事故</x:v>
      </x:c>
      <x:c r="K33" s="22" t="str"/>
      <x:c r="L33" s="22" t="str">
        <x:v>由兩份北海道 LINE 群組聊天紀錄萃取問題類型後重寫；已移除暱稱、日期、原文與個人行程細節。</x:v>
      </x:c>
    </x:row>
    <x:row r="34">
      <x:c r="A34" s="22" t="str">
        <x:v>FAQ-033</x:v>
      </x:c>
      <x:c r="B34" s="22" t="str">
        <x:v>事故救急</x:v>
      </x:c>
      <x:c r="C34" s="22" t="str">
        <x:v>車卡雪</x:v>
      </x:c>
      <x:c r="D34" s="22" t="str">
        <x:v>車子陷在雪裡怎麼辦？</x:v>
      </x:c>
      <x:c r="E34" s="22" t="str">
        <x:v>卡雪、陷車、雪堆、出不來</x:v>
      </x:c>
      <x:c r="F34" s="22" t="str">
        <x:v>不要一直大腳油門，可能越挖越深或損傷車輛。先確認安全，清開輪胎前後積雪，低速輕踩嘗試脫困。無法脫困時聯絡租車公司、道路救援或附近安全單位。</x:v>
      </x:c>
      <x:c r="G34" s="22" t="str">
        <x:v>不要猛踩油門。先清輪胎周圍雪、慢慢試，出不來就聯絡租車公司或救援。</x:v>
      </x:c>
      <x:c r="H34" s="22" t="str">
        <x:v>高</x:v>
      </x:c>
      <x:c r="I34" s="22" t="str">
        <x:v>是</x:v>
      </x:c>
      <x:c r="J34" s="22" t="str">
        <x:v>LINE Bot／雪道救急</x:v>
      </x:c>
      <x:c r="K34" s="22" t="str"/>
      <x:c r="L34" s="22" t="str">
        <x:v>由兩份北海道 LINE 群組聊天紀錄萃取問題類型後重寫；已移除暱稱、日期、原文與個人行程細節。</x:v>
      </x:c>
    </x:row>
    <x:row r="35">
      <x:c r="A35" s="22" t="str">
        <x:v>FAQ-034</x:v>
      </x:c>
      <x:c r="B35" s="22" t="str">
        <x:v>事故救急</x:v>
      </x:c>
      <x:c r="C35" s="22" t="str">
        <x:v>撞到鹿</x:v>
      </x:c>
      <x:c r="D35" s="22" t="str">
        <x:v>開車撞到鹿或看到鹿衝出來怎麼辦？</x:v>
      </x:c>
      <x:c r="E35" s="22" t="str">
        <x:v>鹿、野生動物、撞到動物</x:v>
      </x:c>
      <x:c r="F35" s="22" t="str">
        <x:v>看到鹿不要急打方向閃避，否則可能衝出路外或撞到對向車。減速、保持方向、注意後車。若已碰撞造成車損或道路危險，應聯絡警察與租車公司。</x:v>
      </x:c>
      <x:c r="G35" s="22" t="str">
        <x:v>看到鹿請減速，不要猛打方向。若撞到造成車損，聯絡警察與租車公司。</x:v>
      </x:c>
      <x:c r="H35" s="22" t="str">
        <x:v>高</x:v>
      </x:c>
      <x:c r="I35" s="22" t="str">
        <x:v>是</x:v>
      </x:c>
      <x:c r="J35" s="22" t="str">
        <x:v>LINE Bot／郊區駕駛</x:v>
      </x:c>
      <x:c r="K35" s="22" t="str"/>
      <x:c r="L35" s="22" t="str">
        <x:v>由兩份北海道 LINE 群組聊天紀錄萃取問題類型後重寫；已移除暱稱、日期、原文與個人行程細節。</x:v>
      </x:c>
    </x:row>
    <x:row r="36">
      <x:c r="A36" s="22" t="str">
        <x:v>FAQ-035</x:v>
      </x:c>
      <x:c r="B36" s="22" t="str">
        <x:v>事故救急</x:v>
      </x:c>
      <x:c r="C36" s="22" t="str">
        <x:v>被警察攔</x:v>
      </x:c>
      <x:c r="D36" s="22" t="str">
        <x:v>被日本警察攔下來怎麼辦？</x:v>
      </x:c>
      <x:c r="E36" s="22" t="str">
        <x:v>警察、攔查、違規、罰單</x:v>
      </x:c>
      <x:c r="F36" s="22" t="str">
        <x:v>保持冷靜，停在安全處，依指示提供駕照、日文譯本、護照與租車資料。聽不懂時可使用翻譯工具或請求中文／英文協助，不要爭吵或直接離開。</x:v>
      </x:c>
      <x:c r="G36" s="22" t="str">
        <x:v>冷靜停車，出示駕照、譯本、護照、租車資料。聽不懂就用翻譯，不要爭吵。</x:v>
      </x:c>
      <x:c r="H36" s="22" t="str">
        <x:v>高</x:v>
      </x:c>
      <x:c r="I36" s="22" t="str">
        <x:v>是</x:v>
      </x:c>
      <x:c r="J36" s="22" t="str">
        <x:v>LINE Bot／救急日文</x:v>
      </x:c>
      <x:c r="K36" s="22" t="str"/>
      <x:c r="L36" s="22" t="str">
        <x:v>由兩份北海道 LINE 群組聊天紀錄萃取問題類型後重寫；已移除暱稱、日期、原文與個人行程細節。</x:v>
      </x:c>
    </x:row>
    <x:row r="37">
      <x:c r="A37" s="22" t="str">
        <x:v>FAQ-036</x:v>
      </x:c>
      <x:c r="B37" s="22" t="str">
        <x:v>事故救急</x:v>
      </x:c>
      <x:c r="C37" s="22" t="str">
        <x:v>救急電話</x:v>
      </x:c>
      <x:c r="D37" s="22" t="str">
        <x:v>日本 110、119、#7119 分別是什麼？</x:v>
      </x:c>
      <x:c r="E37" s="22" t="str">
        <x:v>110、119、救護車、警察</x:v>
      </x:c>
      <x:c r="F37" s="22" t="str">
        <x:v>110 是警察，交通事故與犯罪使用；119 是消防與救護，火災或有人受傷時使用。部分地區有醫療諮詢號碼，但可用性依地區不同，緊急狀況仍以 110／119 為主。</x:v>
      </x:c>
      <x:c r="G37" s="22" t="str">
        <x:v>110＝警察／交通事故；119＝救護車與消防。有人受傷先119，交通事故也要110。</x:v>
      </x:c>
      <x:c r="H37" s="22" t="str">
        <x:v>高</x:v>
      </x:c>
      <x:c r="I37" s="22" t="str">
        <x:v>是</x:v>
      </x:c>
      <x:c r="J37" s="22" t="str">
        <x:v>LINE Bot／救急</x:v>
      </x:c>
      <x:c r="K37" s="22" t="str"/>
      <x:c r="L37" s="22" t="str">
        <x:v>由兩份北海道 LINE 群組聊天紀錄萃取問題類型後重寫；已移除暱稱、日期、原文與個人行程細節。</x:v>
      </x:c>
    </x:row>
    <x:row r="38">
      <x:c r="A38" s="22" t="str">
        <x:v>FAQ-037</x:v>
      </x:c>
      <x:c r="B38" s="22" t="str">
        <x:v>事故救急</x:v>
      </x:c>
      <x:c r="C38" s="22" t="str">
        <x:v>日文句子</x:v>
      </x:c>
      <x:c r="D38" s="22" t="str">
        <x:v>發生事故時可以怎麼用日文說？</x:v>
      </x:c>
      <x:c r="E38" s="22" t="str">
        <x:v>日文、事故、求救、警察</x:v>
      </x:c>
      <x:c r="F38" s="22" t="str">
        <x:v>可準備短句：交通事故に遭いました（發生交通事故）。けが人がいます（有人受傷）。場所はここです（地點在這裡）。レンタカー会社に連絡します（我要聯絡租車公司）。</x:v>
      </x:c>
      <x:c r="G38" s="22" t="str">
        <x:v>常用句：交通事故に遭いました。けが人がいます。場所はここです。レンタカー会社に連絡します。</x:v>
      </x:c>
      <x:c r="H38" s="22" t="str">
        <x:v>高</x:v>
      </x:c>
      <x:c r="I38" s="22" t="str">
        <x:v>否</x:v>
      </x:c>
      <x:c r="J38" s="22" t="str">
        <x:v>LINE Bot／救急日文</x:v>
      </x:c>
      <x:c r="K38" s="22" t="str"/>
      <x:c r="L38" s="22" t="str">
        <x:v>由兩份北海道 LINE 群組聊天紀錄萃取問題類型後重寫；已移除暱稱、日期、原文與個人行程細節。</x:v>
      </x:c>
    </x:row>
    <x:row r="39">
      <x:c r="A39" s="22" t="str">
        <x:v>FAQ-038</x:v>
      </x:c>
      <x:c r="B39" s="22" t="str">
        <x:v>事故救急</x:v>
      </x:c>
      <x:c r="C39" s="22" t="str">
        <x:v>私下和解</x:v>
      </x:c>
      <x:c r="D39" s="22" t="str">
        <x:v>小擦撞可以跟對方私下和解嗎？</x:v>
      </x:c>
      <x:c r="E39" s="22" t="str">
        <x:v>私下和解、擦撞、保險、事故證明</x:v>
      </x:c>
      <x:c r="F39" s="22" t="str">
        <x:v>不建議。租車事故若未報警或未依租車公司流程，可能影響保險與後續責任判定。即使雙方看似沒事，也應正式處理並保留紀錄。</x:v>
      </x:c>
      <x:c r="G39" s="22" t="str">
        <x:v>不建議私下和解。租車事故請報警並聯絡租車公司，否則可能影響保險。</x:v>
      </x:c>
      <x:c r="H39" s="22" t="str">
        <x:v>高</x:v>
      </x:c>
      <x:c r="I39" s="22" t="str">
        <x:v>是</x:v>
      </x:c>
      <x:c r="J39" s="22" t="str">
        <x:v>LINE Bot／事故救急</x:v>
      </x:c>
      <x:c r="K39" s="22" t="str"/>
      <x:c r="L39" s="22" t="str">
        <x:v>由兩份北海道 LINE 群組聊天紀錄萃取問題類型後重寫；已移除暱稱、日期、原文與個人行程細節。</x:v>
      </x:c>
    </x:row>
    <x:row r="40">
      <x:c r="A40" s="22" t="str">
        <x:v>FAQ-039</x:v>
      </x:c>
      <x:c r="B40" s="22" t="str">
        <x:v>事故救急</x:v>
      </x:c>
      <x:c r="C40" s="22" t="str">
        <x:v>行車紀錄器</x:v>
      </x:c>
      <x:c r="D40" s="22" t="str">
        <x:v>北海道自駕需要帶行車記錄器嗎？</x:v>
      </x:c>
      <x:c r="E40" s="22" t="str">
        <x:v>行車紀錄器、GoPro、錄影</x:v>
      </x:c>
      <x:c r="F40" s="22" t="str">
        <x:v>自備行車記錄器可作為行車紀錄與自我提醒，但安裝不能遮擋視線或影響安全。若使用租車，避免留下膠痕或破壞內裝，電線也不能妨礙駕駛。</x:v>
      </x:c>
      <x:c r="G40" s="22" t="str">
        <x:v>可以帶，但不要擋視線、不要破壞租車內裝，線材不要影響駕駛。</x:v>
      </x:c>
      <x:c r="H40" s="22" t="str">
        <x:v>低</x:v>
      </x:c>
      <x:c r="I40" s="22" t="str">
        <x:v>否</x:v>
      </x:c>
      <x:c r="J40" s="22" t="str">
        <x:v>行前提醒</x:v>
      </x:c>
      <x:c r="K40" s="22" t="str"/>
      <x:c r="L40" s="22" t="str">
        <x:v>由兩份北海道 LINE 群組聊天紀錄萃取問題類型後重寫；已移除暱稱、日期、原文與個人行程細節。</x:v>
      </x:c>
    </x:row>
    <x:row r="41">
      <x:c r="A41" s="22" t="str">
        <x:v>FAQ-040</x:v>
      </x:c>
      <x:c r="B41" s="22" t="str">
        <x:v>事故救急</x:v>
      </x:c>
      <x:c r="C41" s="22" t="str">
        <x:v>保險理賠</x:v>
      </x:c>
      <x:c r="D41" s="22" t="str">
        <x:v>出事故後保險理賠要保留什麼？</x:v>
      </x:c>
      <x:c r="E41" s="22" t="str">
        <x:v>理賠、收據、證明、保險</x:v>
      </x:c>
      <x:c r="F41" s="22" t="str">
        <x:v>保留警察紀錄、租車公司事故文件、現場照片、收據、拖吊或修理相關資料。若涉及旅遊不便險或醫療費，還要保留診斷書、收據與交通住宿證明。</x:v>
      </x:c>
      <x:c r="G41" s="22" t="str">
        <x:v>保留：警察紀錄、租車文件、照片、收據、醫療或拖吊證明。沒有文件就很難理賠。</x:v>
      </x:c>
      <x:c r="H41" s="22" t="str">
        <x:v>高</x:v>
      </x:c>
      <x:c r="I41" s="22" t="str">
        <x:v>是</x:v>
      </x:c>
      <x:c r="J41" s="22" t="str">
        <x:v>客服 SOP／保險導流</x:v>
      </x:c>
      <x:c r="K41" s="22" t="str"/>
      <x:c r="L41" s="22" t="str">
        <x:v>由兩份北海道 LINE 群組聊天紀錄萃取問題類型後重寫；已移除暱稱、日期、原文與個人行程細節。</x:v>
      </x:c>
    </x:row>
    <x:row r="42">
      <x:c r="A42" s="22" t="str">
        <x:v>FAQ-041</x:v>
      </x:c>
      <x:c r="B42" s="22" t="str">
        <x:v>JR航班與交通異動</x:v>
      </x:c>
      <x:c r="C42" s="22" t="str">
        <x:v>航班停飛</x:v>
      </x:c>
      <x:c r="D42" s="22" t="str">
        <x:v>大雪導致航班停飛，行程第一步怎麼處理？</x:v>
      </x:c>
      <x:c r="E42" s="22" t="str">
        <x:v>停飛、欠航、航班取消、大雪</x:v>
      </x:c>
      <x:c r="F42" s="22" t="str">
        <x:v>先確認航空公司公告與替代航班，再通知租車、飯店、接送與行程業者。索取航班取消或延誤證明，保留新增住宿、交通與餐費收據，供旅遊不便險申請。</x:v>
      </x:c>
      <x:c r="G42" s="22" t="str">
        <x:v>先確認航空公司改票，再通知租車／飯店／接送。記得索取延誤或取消證明並保留收據。</x:v>
      </x:c>
      <x:c r="H42" s="22" t="str">
        <x:v>高</x:v>
      </x:c>
      <x:c r="I42" s="22" t="str">
        <x:v>是</x:v>
      </x:c>
      <x:c r="J42" s="22" t="str">
        <x:v>LINE Bot／航班救急</x:v>
      </x:c>
      <x:c r="K42" s="22" t="str"/>
      <x:c r="L42" s="22" t="str">
        <x:v>由兩份北海道 LINE 群組聊天紀錄萃取問題類型後重寫；已移除暱稱、日期、原文與個人行程細節。</x:v>
      </x:c>
    </x:row>
    <x:row r="43">
      <x:c r="A43" s="22" t="str">
        <x:v>FAQ-042</x:v>
      </x:c>
      <x:c r="B43" s="22" t="str">
        <x:v>JR航班與交通異動</x:v>
      </x:c>
      <x:c r="C43" s="22" t="str">
        <x:v>租車受影響</x:v>
      </x:c>
      <x:c r="D43" s="22" t="str">
        <x:v>航班停飛影響取車，租車費用能退嗎？</x:v>
      </x:c>
      <x:c r="E43" s="22" t="str">
        <x:v>停飛、租車取消、延期、天候</x:v>
      </x:c>
      <x:c r="F43" s="22" t="str">
        <x:v>是否能免費取消或延期，取決於租車公司規定與天候狀況。應立即聯絡租車公司，提供航班異動資訊，請對方確認可延期、取消或修改取車時間。</x:v>
      </x:c>
      <x:c r="G43" s="22" t="str">
        <x:v>立刻聯絡租車公司，附上航班異動資訊。能否取消或延期以店家規定為準。</x:v>
      </x:c>
      <x:c r="H43" s="22" t="str">
        <x:v>高</x:v>
      </x:c>
      <x:c r="I43" s="22" t="str">
        <x:v>是</x:v>
      </x:c>
      <x:c r="J43" s="22" t="str">
        <x:v>LINE Bot／租車救急</x:v>
      </x:c>
      <x:c r="K43" s="22" t="str"/>
      <x:c r="L43" s="22" t="str">
        <x:v>由兩份北海道 LINE 群組聊天紀錄萃取問題類型後重寫；已移除暱稱、日期、原文與個人行程細節。</x:v>
      </x:c>
    </x:row>
    <x:row r="44">
      <x:c r="A44" s="22" t="str">
        <x:v>FAQ-043</x:v>
      </x:c>
      <x:c r="B44" s="22" t="str">
        <x:v>JR航班與交通異動</x:v>
      </x:c>
      <x:c r="C44" s="22" t="str">
        <x:v>JR運休</x:v>
      </x:c>
      <x:c r="D44" s="22" t="str">
        <x:v>JR 運休時要怎麼辦？</x:v>
      </x:c>
      <x:c r="E44" s="22" t="str">
        <x:v>JR、運休、停駛、列車</x:v>
      </x:c>
      <x:c r="F44" s="22" t="str">
        <x:v>先確認 JR 官方運行資訊，保留票券與公告截圖。若當天必須移動，可評估巴士、計程車、包車或多住一晚。冬季不要為趕行程冒險自駕長距離。</x:v>
      </x:c>
      <x:c r="G44" s="22" t="str">
        <x:v>JR 運休先查官方公告，保留截圖。改巴士、包車、計程車或多住一晚，安全比趕行程重要。</x:v>
      </x:c>
      <x:c r="H44" s="22" t="str">
        <x:v>高</x:v>
      </x:c>
      <x:c r="I44" s="22" t="str">
        <x:v>是</x:v>
      </x:c>
      <x:c r="J44" s="22" t="str">
        <x:v>LINE Bot／交通異動</x:v>
      </x:c>
      <x:c r="K44" s="22" t="str"/>
      <x:c r="L44" s="22" t="str">
        <x:v>由兩份北海道 LINE 群組聊天紀錄萃取問題類型後重寫；已移除暱稱、日期、原文與個人行程細節。</x:v>
      </x:c>
    </x:row>
    <x:row r="45">
      <x:c r="A45" s="22" t="str">
        <x:v>FAQ-044</x:v>
      </x:c>
      <x:c r="B45" s="22" t="str">
        <x:v>JR航班與交通異動</x:v>
      </x:c>
      <x:c r="C45" s="22" t="str">
        <x:v>替代交通</x:v>
      </x:c>
      <x:c r="D45" s="22" t="str">
        <x:v>JR停駛時可以直接叫計程車跨城市嗎？</x:v>
      </x:c>
      <x:c r="E45" s="22" t="str">
        <x:v>計程車、替代交通、跨城市、包車</x:v>
      </x:c>
      <x:c r="F45" s="22" t="str">
        <x:v>可行但費用可能很高，且大雪天車輛供應不足。若多人同行可比較包車、巴士、改住宿與隔日移動。應先確認道路狀況，避免把鐵路風險轉成道路風險。</x:v>
      </x:c>
      <x:c r="G45" s="22" t="str">
        <x:v>跨城市計程車可能很貴且不一定叫得到。先看道路狀況，再比較包車、巴士或改住一晚。</x:v>
      </x:c>
      <x:c r="H45" s="22" t="str">
        <x:v>中</x:v>
      </x:c>
      <x:c r="I45" s="22" t="str">
        <x:v>否</x:v>
      </x:c>
      <x:c r="J45" s="22" t="str">
        <x:v>包車導流</x:v>
      </x:c>
      <x:c r="K45" s="22" t="str"/>
      <x:c r="L45" s="22" t="str">
        <x:v>由兩份北海道 LINE 群組聊天紀錄萃取問題類型後重寫；已移除暱稱、日期、原文與個人行程細節。</x:v>
      </x:c>
    </x:row>
    <x:row r="46">
      <x:c r="A46" s="22" t="str">
        <x:v>FAQ-045</x:v>
      </x:c>
      <x:c r="B46" s="22" t="str">
        <x:v>JR航班與交通異動</x:v>
      </x:c>
      <x:c r="C46" s="22" t="str">
        <x:v>機場接送</x:v>
      </x:c>
      <x:c r="D46" s="22" t="str">
        <x:v>新千歲或旭川機場遇到大雪，接送會延誤嗎？</x:v>
      </x:c>
      <x:c r="E46" s="22" t="str">
        <x:v>機場接送、新千歲、旭川機場、延誤</x:v>
      </x:c>
      <x:c r="F46" s="22" t="str">
        <x:v>大雪時接送可能受道路封閉、除雪與航班排隊影響。預約接送或包車時應提供航班號，並確認延誤等待規則、取消規定與緊急聯絡方式。</x:v>
      </x:c>
      <x:c r="G46" s="22" t="str">
        <x:v>大雪接送可能延誤。預約時提供航班號，確認等待規則與緊急聯絡 LINE。</x:v>
      </x:c>
      <x:c r="H46" s="22" t="str">
        <x:v>中</x:v>
      </x:c>
      <x:c r="I46" s="22" t="str">
        <x:v>是</x:v>
      </x:c>
      <x:c r="J46" s="22" t="str">
        <x:v>接送導流</x:v>
      </x:c>
      <x:c r="K46" s="22" t="str"/>
      <x:c r="L46" s="22" t="str">
        <x:v>由兩份北海道 LINE 群組聊天紀錄萃取問題類型後重寫；已移除暱稱、日期、原文與個人行程細節。</x:v>
      </x:c>
    </x:row>
    <x:row r="47">
      <x:c r="A47" s="22" t="str">
        <x:v>FAQ-046</x:v>
      </x:c>
      <x:c r="B47" s="22" t="str">
        <x:v>JR航班與交通異動</x:v>
      </x:c>
      <x:c r="C47" s="22" t="str">
        <x:v>不便險</x:v>
      </x:c>
      <x:c r="D47" s="22" t="str">
        <x:v>班機延誤或取消，不便險要準備什麼？</x:v>
      </x:c>
      <x:c r="E47" s="22" t="str">
        <x:v>不便險、延誤證明、理賠、收據</x:v>
      </x:c>
      <x:c r="F47" s="22" t="str">
        <x:v>通常需航班延誤／取消證明、登機證、原始與替代航班資訊、額外支出的住宿交通餐費收據。實際理賠以保單條款與保險公司審核為準。</x:v>
      </x:c>
      <x:c r="G47" s="22" t="str">
        <x:v>先拿航班延誤／取消證明，保存登機證與收據。是否理賠看保單條款。</x:v>
      </x:c>
      <x:c r="H47" s="22" t="str">
        <x:v>高</x:v>
      </x:c>
      <x:c r="I47" s="22" t="str">
        <x:v>是</x:v>
      </x:c>
      <x:c r="J47" s="22" t="str">
        <x:v>保險導流</x:v>
      </x:c>
      <x:c r="K47" s="22" t="str"/>
      <x:c r="L47" s="22" t="str">
        <x:v>由兩份北海道 LINE 群組聊天紀錄萃取問題類型後重寫；已移除暱稱、日期、原文與個人行程細節。</x:v>
      </x:c>
    </x:row>
    <x:row r="48">
      <x:c r="A48" s="22" t="str">
        <x:v>FAQ-047</x:v>
      </x:c>
      <x:c r="B48" s="22" t="str">
        <x:v>JR航班與交通異動</x:v>
      </x:c>
      <x:c r="C48" s="22" t="str">
        <x:v>高速封閉</x:v>
      </x:c>
      <x:c r="D48" s="22" t="str">
        <x:v>高速公路封閉時要照 Google Map 走替代路嗎？</x:v>
      </x:c>
      <x:c r="E48" s="22" t="str">
        <x:v>高速封閉、通行止、Google Map、替代路</x:v>
      </x:c>
      <x:c r="F48" s="22" t="str">
        <x:v>高速封閉時，不一定代表替代小路安全。冬季應查官方道路資訊，優先選主幹道，必要時延後移動或改住宿。不要為省時間走不熟的山路或農道。</x:v>
      </x:c>
      <x:c r="G48" s="22" t="str">
        <x:v>高速封閉不要盲目走小路。先查官方道路資訊，必要時改住宿或延後出發。</x:v>
      </x:c>
      <x:c r="H48" s="22" t="str">
        <x:v>高</x:v>
      </x:c>
      <x:c r="I48" s="22" t="str">
        <x:v>是</x:v>
      </x:c>
      <x:c r="J48" s="22" t="str">
        <x:v>LINE Bot／路況</x:v>
      </x:c>
      <x:c r="K48" s="22" t="str"/>
      <x:c r="L48" s="22" t="str">
        <x:v>由兩份北海道 LINE 群組聊天紀錄萃取問題類型後重寫；已移除暱稱、日期、原文與個人行程細節。</x:v>
      </x:c>
    </x:row>
    <x:row r="49">
      <x:c r="A49" s="22" t="str">
        <x:v>FAQ-048</x:v>
      </x:c>
      <x:c r="B49" s="22" t="str">
        <x:v>JR航班與交通異動</x:v>
      </x:c>
      <x:c r="C49" s="22" t="str">
        <x:v>一日團集合</x:v>
      </x:c>
      <x:c r="D49" s="22" t="str">
        <x:v>北海道一日遊集合地點很多，怎麼避免找不到？</x:v>
      </x:c>
      <x:c r="E49" s="22" t="str">
        <x:v>一日遊、集合地點、北口、東急REI</x:v>
      </x:c>
      <x:c r="F49" s="22" t="str">
        <x:v>前一天檢查電子郵件或平台訊息，確認集合時間、地點、出口、巴士公司與緊急電話。冬天拉行李與走錯出口都會耗時，建議提前 15–30 分鐘抵達。</x:v>
      </x:c>
      <x:c r="G49" s="22" t="str">
        <x:v>一日遊前一天再看通知，確認出口和集合點。冬天請提早 15–30 分鐘到。</x:v>
      </x:c>
      <x:c r="H49" s="22" t="str">
        <x:v>中</x:v>
      </x:c>
      <x:c r="I49" s="22" t="str">
        <x:v>否</x:v>
      </x:c>
      <x:c r="J49" s="22" t="str">
        <x:v>行前提醒</x:v>
      </x:c>
      <x:c r="K49" s="22" t="str"/>
      <x:c r="L49" s="22" t="str">
        <x:v>由兩份北海道 LINE 群組聊天紀錄萃取問題類型後重寫；已移除暱稱、日期、原文與個人行程細節。</x:v>
      </x:c>
    </x:row>
    <x:row r="50">
      <x:c r="A50" s="22" t="str">
        <x:v>FAQ-049</x:v>
      </x:c>
      <x:c r="B50" s="22" t="str">
        <x:v>JR航班與交通異動</x:v>
      </x:c>
      <x:c r="C50" s="22" t="str">
        <x:v>冬季巴士</x:v>
      </x:c>
      <x:c r="D50" s="22" t="str">
        <x:v>冬天搭巴士會比自駕安全嗎？</x:v>
      </x:c>
      <x:c r="E50" s="22" t="str">
        <x:v>巴士、包車、雪駕、一日團</x:v>
      </x:c>
      <x:c r="F50" s="22" t="str">
        <x:v>對沒有雪駕經驗的旅客，巴士或包車通常比自駕更安心，但仍可能受天氣與道路封閉影響。若目的地偏遠或時間要求高，包車彈性較高。</x:v>
      </x:c>
      <x:c r="G50" s="22" t="str">
        <x:v>沒雪駕經驗，巴士或包車通常更安心；但大雪仍可能延誤，行程要留彈性。</x:v>
      </x:c>
      <x:c r="H50" s="22" t="str">
        <x:v>中</x:v>
      </x:c>
      <x:c r="I50" s="22" t="str">
        <x:v>否</x:v>
      </x:c>
      <x:c r="J50" s="22" t="str">
        <x:v>包車導流</x:v>
      </x:c>
      <x:c r="K50" s="22" t="str"/>
      <x:c r="L50" s="22" t="str">
        <x:v>由兩份北海道 LINE 群組聊天紀錄萃取問題類型後重寫；已移除暱稱、日期、原文與個人行程細節。</x:v>
      </x:c>
    </x:row>
    <x:row r="51">
      <x:c r="A51" s="22" t="str">
        <x:v>FAQ-050</x:v>
      </x:c>
      <x:c r="B51" s="22" t="str">
        <x:v>JR航班與交通異動</x:v>
      </x:c>
      <x:c r="C51" s="22" t="str">
        <x:v>多住一晚</x:v>
      </x:c>
      <x:c r="D51" s="22" t="str">
        <x:v>因天候回不了原本城市，應該先做什麼？</x:v>
      </x:c>
      <x:c r="E51" s="22" t="str">
        <x:v>滯留、多住一晚、回不去、大雪</x:v>
      </x:c>
      <x:c r="F51" s="22" t="str">
        <x:v>先確認當晚住宿、交通安全與隔天移動方式。通知原飯店、租車與行程業者，保存交通異動證明與新增住宿收據。不要為了原行程硬開危險路段。</x:v>
      </x:c>
      <x:c r="G51" s="22" t="str">
        <x:v>先保今晚住宿，再處理交通。通知飯店／租車／行程業者，保留證明與收據。</x:v>
      </x:c>
      <x:c r="H51" s="22" t="str">
        <x:v>高</x:v>
      </x:c>
      <x:c r="I51" s="22" t="str">
        <x:v>是</x:v>
      </x:c>
      <x:c r="J51" s="22" t="str">
        <x:v>LINE Bot／天候備案</x:v>
      </x:c>
      <x:c r="K51" s="22" t="str"/>
      <x:c r="L51" s="22" t="str">
        <x:v>由兩份北海道 LINE 群組聊天紀錄萃取問題類型後重寫；已移除暱稱、日期、原文與個人行程細節。</x:v>
      </x:c>
    </x:row>
    <x:row r="52">
      <x:c r="A52" s="22" t="str">
        <x:v>FAQ-051</x:v>
      </x:c>
      <x:c r="B52" s="22" t="str">
        <x:v>停車加油與付款</x:v>
      </x:c>
      <x:c r="C52" s="22" t="str">
        <x:v>札幌停車</x:v>
      </x:c>
      <x:c r="D52" s="22" t="str">
        <x:v>札幌薄野停車會不會很難？</x:v>
      </x:c>
      <x:c r="E52" s="22" t="str">
        <x:v>薄野、停車場、札幌、駐車場</x:v>
      </x:c>
      <x:c r="F52" s="22" t="str">
        <x:v>札幌市區停車場不少，但熱門時段需繞一下比較價格與空位。自駕住宿應先確認飯店停車場是否可預約、是否限高、是否可中途進出，以及附近備用停車場。</x:v>
      </x:c>
      <x:c r="G52" s="22" t="str">
        <x:v>薄野停車場不少但要比價。先查飯店停車、限高、是否可進出，再準備備用停車場。</x:v>
      </x:c>
      <x:c r="H52" s="22" t="str">
        <x:v>中</x:v>
      </x:c>
      <x:c r="I52" s="22" t="str">
        <x:v>否</x:v>
      </x:c>
      <x:c r="J52" s="22" t="str">
        <x:v>停車地圖</x:v>
      </x:c>
      <x:c r="K52" s="22" t="str"/>
      <x:c r="L52" s="22" t="str">
        <x:v>由兩份北海道 LINE 群組聊天紀錄萃取問題類型後重寫；已移除暱稱、日期、原文與個人行程細節。</x:v>
      </x:c>
    </x:row>
    <x:row r="53">
      <x:c r="A53" s="22" t="str">
        <x:v>FAQ-052</x:v>
      </x:c>
      <x:c r="B53" s="22" t="str">
        <x:v>停車加油與付款</x:v>
      </x:c>
      <x:c r="C53" s="22" t="str">
        <x:v>臨停行李</x:v>
      </x:c>
      <x:c r="D53" s="22" t="str">
        <x:v>飯店前可以臨停下行李嗎？</x:v>
      </x:c>
      <x:c r="E53" s="22" t="str">
        <x:v>臨停、下行李、飯店門口、行李</x:v>
      </x:c>
      <x:c r="F53" s="22" t="str">
        <x:v>不建議自行判斷。市區道路、巴士站、計程車區、禁停區都可能不能臨停。應先寫信或訊息詢問飯店是否有卸行李區，或先停附近停車場再步行。</x:v>
      </x:c>
      <x:c r="G53" s="22" t="str">
        <x:v>先問飯店有沒有卸行李區。不要自己亂停在路邊，尤其市區、巴士站、禁停區。</x:v>
      </x:c>
      <x:c r="H53" s="22" t="str">
        <x:v>中</x:v>
      </x:c>
      <x:c r="I53" s="22" t="str">
        <x:v>是</x:v>
      </x:c>
      <x:c r="J53" s="22" t="str">
        <x:v>飯店 SOP</x:v>
      </x:c>
      <x:c r="K53" s="22" t="str"/>
      <x:c r="L53" s="22" t="str">
        <x:v>由兩份北海道 LINE 群組聊天紀錄萃取問題類型後重寫；已移除暱稱、日期、原文與個人行程細節。</x:v>
      </x:c>
    </x:row>
    <x:row r="54">
      <x:c r="A54" s="22" t="str">
        <x:v>FAQ-053</x:v>
      </x:c>
      <x:c r="B54" s="22" t="str">
        <x:v>停車加油與付款</x:v>
      </x:c>
      <x:c r="C54" s="22" t="str">
        <x:v>停車現金</x:v>
      </x:c>
      <x:c r="D54" s="22" t="str">
        <x:v>北海道停車場可以刷卡嗎？</x:v>
      </x:c>
      <x:c r="E54" s="22" t="str">
        <x:v>現金、停車費、硬幣、1000円</x:v>
      </x:c>
      <x:c r="F54" s="22" t="str">
        <x:v>部分停車場可刷卡或電子支付，但不少小型停車場仍以現金為主。建議準備 1000 日圓鈔與 100 日圓硬幣，並用 Google Maps 照片確認機器樣式。</x:v>
      </x:c>
      <x:c r="G54" s="22" t="str">
        <x:v>不要假設都能刷卡。準備 1000 日圓鈔與 100 日圓硬幣最保險。</x:v>
      </x:c>
      <x:c r="H54" s="22" t="str">
        <x:v>中</x:v>
      </x:c>
      <x:c r="I54" s="22" t="str">
        <x:v>否</x:v>
      </x:c>
      <x:c r="J54" s="22" t="str">
        <x:v>LINE Bot／現金提醒</x:v>
      </x:c>
      <x:c r="K54" s="22" t="str"/>
      <x:c r="L54" s="22" t="str">
        <x:v>由兩份北海道 LINE 群組聊天紀錄萃取問題類型後重寫；已移除暱稱、日期、原文與個人行程細節。</x:v>
      </x:c>
    </x:row>
    <x:row r="55">
      <x:c r="A55" s="22" t="str">
        <x:v>FAQ-054</x:v>
      </x:c>
      <x:c r="B55" s="22" t="str">
        <x:v>停車加油與付款</x:v>
      </x:c>
      <x:c r="C55" s="22" t="str">
        <x:v>限高</x:v>
      </x:c>
      <x:c r="D55" s="22" t="str">
        <x:v>租 Voxy、Hiace、露營車要注意停車限高嗎？</x:v>
      </x:c>
      <x:c r="E55" s="22" t="str">
        <x:v>限高、Voxy、Hiace、露營車、停車塔</x:v>
      </x:c>
      <x:c r="F55" s="22" t="str">
        <x:v>機械式停車場與停車塔常有限高、車寬與車重限制。高車身車款應優先選平面停車場，並保留第二停車選項。</x:v>
      </x:c>
      <x:c r="G55" s="22" t="str">
        <x:v>高車身請查限高。停車塔不一定能進，平面停車場比較安全。</x:v>
      </x:c>
      <x:c r="H55" s="22" t="str">
        <x:v>中</x:v>
      </x:c>
      <x:c r="I55" s="22" t="str">
        <x:v>否</x:v>
      </x:c>
      <x:c r="J55" s="22" t="str">
        <x:v>停車地圖</x:v>
      </x:c>
      <x:c r="K55" s="22" t="str"/>
      <x:c r="L55" s="22" t="str">
        <x:v>由兩份北海道 LINE 群組聊天紀錄萃取問題類型後重寫；已移除暱稱、日期、原文與個人行程細節。</x:v>
      </x:c>
    </x:row>
    <x:row r="56">
      <x:c r="A56" s="22" t="str">
        <x:v>FAQ-055</x:v>
      </x:c>
      <x:c r="B56" s="22" t="str">
        <x:v>停車加油與付款</x:v>
      </x:c>
      <x:c r="C56" s="22" t="str">
        <x:v>停車機操作</x:v>
      </x:c>
      <x:c r="D56" s="22" t="str">
        <x:v>停車場繳費機看不懂怎麼辦？</x:v>
      </x:c>
      <x:c r="E56" s="22" t="str">
        <x:v>繳費機、停車票、精算機、駐車料金</x:v>
      </x:c>
      <x:c r="F56" s="22" t="str">
        <x:v>先確認是否為先付、後付、車牌辨識或停車券制。可使用翻譯 App 拍照辨識。不要直接開出未付款，部分停車場出口會鎖住或產生罰則。</x:v>
      </x:c>
      <x:c r="G56" s="22" t="str">
        <x:v>先看是先付還後付。看不懂用翻譯拍照，不要未付款就開走。</x:v>
      </x:c>
      <x:c r="H56" s="22" t="str">
        <x:v>中</x:v>
      </x:c>
      <x:c r="I56" s="22" t="str">
        <x:v>否</x:v>
      </x:c>
      <x:c r="J56" s="22" t="str">
        <x:v>LINE Bot／停車教學</x:v>
      </x:c>
      <x:c r="K56" s="22" t="str"/>
      <x:c r="L56" s="22" t="str">
        <x:v>由兩份北海道 LINE 群組聊天紀錄萃取問題類型後重寫；已移除暱稱、日期、原文與個人行程細節。</x:v>
      </x:c>
    </x:row>
    <x:row r="57">
      <x:c r="A57" s="22" t="str">
        <x:v>FAQ-056</x:v>
      </x:c>
      <x:c r="B57" s="22" t="str">
        <x:v>停車加油與付款</x:v>
      </x:c>
      <x:c r="C57" s="22" t="str">
        <x:v>加油油種</x:v>
      </x:c>
      <x:c r="D57" s="22" t="str">
        <x:v>租車要加哪一種油？</x:v>
      </x:c>
      <x:c r="E57" s="22" t="str">
        <x:v>加油、油種、レギュラー、柴油</x:v>
      </x:c>
      <x:c r="F57" s="22" t="str">
        <x:v>以租車公司或油箱蓋標示為準。日本常見汽油為レギュラー，另有ハイオク與軽油。加錯油可能造成高額維修，若不確定請請加油站員工確認。</x:v>
      </x:c>
      <x:c r="G57" s="22" t="str">
        <x:v>油種看油箱蓋或租車資料。不確定就請店員確認，千萬不要亂加。</x:v>
      </x:c>
      <x:c r="H57" s="22" t="str">
        <x:v>高</x:v>
      </x:c>
      <x:c r="I57" s="22" t="str">
        <x:v>是</x:v>
      </x:c>
      <x:c r="J57" s="22" t="str">
        <x:v>LINE Bot／加油 FAQ</x:v>
      </x:c>
      <x:c r="K57" s="22" t="str"/>
      <x:c r="L57" s="22" t="str">
        <x:v>由兩份北海道 LINE 群組聊天紀錄萃取問題類型後重寫；已移除暱稱、日期、原文與個人行程細節。</x:v>
      </x:c>
    </x:row>
    <x:row r="58">
      <x:c r="A58" s="22" t="str">
        <x:v>FAQ-057</x:v>
      </x:c>
      <x:c r="B58" s="22" t="str">
        <x:v>停車加油與付款</x:v>
      </x:c>
      <x:c r="C58" s="22" t="str">
        <x:v>自助加油</x:v>
      </x:c>
      <x:c r="D58" s="22" t="str">
        <x:v>自助加油站怎麼用？</x:v>
      </x:c>
      <x:c r="E58" s="22" t="str">
        <x:v>自助加油、セルフ、加油站</x:v>
      </x:c>
      <x:c r="F58" s="22" t="str">
        <x:v>自助加油通常先選油種、金額或滿油、付款方式，再拿油槍加油。看不懂可請店員協助，尤其第一次不建議在深夜無人狀態下操作。</x:v>
      </x:c>
      <x:c r="G58" s="22" t="str">
        <x:v>第一次自助加油看不懂就找店員。先確認油種，再操作付款與加油。</x:v>
      </x:c>
      <x:c r="H58" s="22" t="str">
        <x:v>中</x:v>
      </x:c>
      <x:c r="I58" s="22" t="str">
        <x:v>否</x:v>
      </x:c>
      <x:c r="J58" s="22" t="str">
        <x:v>LINE Bot／加油教學</x:v>
      </x:c>
      <x:c r="K58" s="22" t="str"/>
      <x:c r="L58" s="22" t="str">
        <x:v>由兩份北海道 LINE 群組聊天紀錄萃取問題類型後重寫；已移除暱稱、日期、原文與個人行程細節。</x:v>
      </x:c>
    </x:row>
    <x:row r="59">
      <x:c r="A59" s="22" t="str">
        <x:v>FAQ-058</x:v>
      </x:c>
      <x:c r="B59" s="22" t="str">
        <x:v>停車加油與付款</x:v>
      </x:c>
      <x:c r="C59" s="22" t="str">
        <x:v>滿油還車</x:v>
      </x:c>
      <x:c r="D59" s="22" t="str">
        <x:v>還車前一定要加滿油嗎？</x:v>
      </x:c>
      <x:c r="E59" s="22" t="str">
        <x:v>滿油、還車、收據、加油證明</x:v>
      </x:c>
      <x:c r="F59" s="22" t="str">
        <x:v>多數租車需滿油還車，並可能要求附近加油站收據。還車前應確認租車合約規定，保留加油收據，避免被收取較高補油費。</x:v>
      </x:c>
      <x:c r="G59" s="22" t="str">
        <x:v>多數租車要滿油還車。保留加油收據，還車前看合約規定。</x:v>
      </x:c>
      <x:c r="H59" s="22" t="str">
        <x:v>中</x:v>
      </x:c>
      <x:c r="I59" s="22" t="str">
        <x:v>是</x:v>
      </x:c>
      <x:c r="J59" s="22" t="str">
        <x:v>租車 SOP</x:v>
      </x:c>
      <x:c r="K59" s="22" t="str"/>
      <x:c r="L59" s="22" t="str">
        <x:v>由兩份北海道 LINE 群組聊天紀錄萃取問題類型後重寫；已移除暱稱、日期、原文與個人行程細節。</x:v>
      </x:c>
    </x:row>
    <x:row r="60">
      <x:c r="A60" s="22" t="str">
        <x:v>FAQ-059</x:v>
      </x:c>
      <x:c r="B60" s="22" t="str">
        <x:v>停車加油與付款</x:v>
      </x:c>
      <x:c r="C60" s="22" t="str">
        <x:v>現金店</x:v>
      </x:c>
      <x:c r="D60" s="22" t="str">
        <x:v>鄉下餐廳或停車場只收現金怎麼辦？</x:v>
      </x:c>
      <x:c r="E60" s="22" t="str">
        <x:v>現金店、只收現金、ATM、便利商店</x:v>
      </x:c>
      <x:c r="F60" s="22" t="str">
        <x:v>道北與鄉下仍可能遇到只收現金的店、停車場或小型設施。建議每天保留一定現金，並在便利商店 ATM 補充。熱門景點附近不一定有 ATM。</x:v>
      </x:c>
      <x:c r="G60" s="22" t="str">
        <x:v>鄉下請準備現金。便利商店 ATM 可補，但景點旁不一定有，出發前先換好。</x:v>
      </x:c>
      <x:c r="H60" s="22" t="str">
        <x:v>中</x:v>
      </x:c>
      <x:c r="I60" s="22" t="str">
        <x:v>否</x:v>
      </x:c>
      <x:c r="J60" s="22" t="str">
        <x:v>現金店地圖</x:v>
      </x:c>
      <x:c r="K60" s="22" t="str"/>
      <x:c r="L60" s="22" t="str">
        <x:v>由兩份北海道 LINE 群組聊天紀錄萃取問題類型後重寫；已移除暱稱、日期、原文與個人行程細節。</x:v>
      </x:c>
    </x:row>
    <x:row r="61">
      <x:c r="A61" s="22" t="str">
        <x:v>FAQ-060</x:v>
      </x:c>
      <x:c r="B61" s="22" t="str">
        <x:v>停車加油與付款</x:v>
      </x:c>
      <x:c r="C61" s="22" t="str">
        <x:v>付款工具</x:v>
      </x:c>
      <x:c r="D61" s="22" t="str">
        <x:v>PayPay、交通卡、信用卡在北海道好用嗎？</x:v>
      </x:c>
      <x:c r="E61" s="22" t="str">
        <x:v>PayPay、信用卡、Suica、電子支付</x:v>
      </x:c>
      <x:c r="F61" s="22" t="str">
        <x:v>市區與連鎖店多數可刷卡或電子支付，但小店、停車場、溫泉、鄉下餐廳仍可能只收現金。不要只依賴一種支付方式。</x:v>
      </x:c>
      <x:c r="G61" s="22" t="str">
        <x:v>市區卡片好用，鄉下現金還是必要。信用卡、交通卡、現金都準備比較安心。</x:v>
      </x:c>
      <x:c r="H61" s="22" t="str">
        <x:v>低</x:v>
      </x:c>
      <x:c r="I61" s="22" t="str">
        <x:v>否</x:v>
      </x:c>
      <x:c r="J61" s="22" t="str">
        <x:v>行前提醒</x:v>
      </x:c>
      <x:c r="K61" s="22" t="str"/>
      <x:c r="L61" s="22" t="str">
        <x:v>由兩份北海道 LINE 群組聊天紀錄萃取問題類型後重寫；已移除暱稱、日期、原文與個人行程細節。</x:v>
      </x:c>
    </x:row>
    <x:row r="62">
      <x:c r="A62" s="22" t="str">
        <x:v>FAQ-061</x:v>
      </x:c>
      <x:c r="B62" s="22" t="str">
        <x:v>行程路線</x:v>
      </x:c>
      <x:c r="C62" s="22" t="str">
        <x:v>札幌美瑛一日</x:v>
      </x:c>
      <x:c r="D62" s="22" t="str">
        <x:v>札幌出發富良野美瑛一日遊會不會太趕？</x:v>
      </x:c>
      <x:c r="E62" s="22" t="str">
        <x:v>札幌、富良野、美瑛、一日遊</x:v>
      </x:c>
      <x:c r="F62" s="22" t="str">
        <x:v>可以打卡，但移動時間長，冬季日照短與路況變數大。若想舒服玩丘陵、青池、餐廳與拍照，建議住旭川或富良野一晚。</x:v>
      </x:c>
      <x:c r="G62" s="22" t="str">
        <x:v>札幌來回富良野美瑛可以但很趕。冬天更建議住旭川或富良野一晚。</x:v>
      </x:c>
      <x:c r="H62" s="22" t="str">
        <x:v>中</x:v>
      </x:c>
      <x:c r="I62" s="22" t="str">
        <x:v>否</x:v>
      </x:c>
      <x:c r="J62" s="22" t="str">
        <x:v>民宿導流</x:v>
      </x:c>
      <x:c r="K62" s="22" t="str"/>
      <x:c r="L62" s="22" t="str">
        <x:v>由兩份北海道 LINE 群組聊天紀錄萃取問題類型後重寫；已移除暱稱、日期、原文與個人行程細節。</x:v>
      </x:c>
    </x:row>
    <x:row r="63">
      <x:c r="A63" s="22" t="str">
        <x:v>FAQ-062</x:v>
      </x:c>
      <x:c r="B63" s="22" t="str">
        <x:v>行程路線</x:v>
      </x:c>
      <x:c r="C63" s="22" t="str">
        <x:v>旭川基地</x:v>
      </x:c>
      <x:c r="D63" s="22" t="str">
        <x:v>住旭川玩美瑛富良野合理嗎？</x:v>
      </x:c>
      <x:c r="E63" s="22" t="str">
        <x:v>旭川住宿、美瑛、富良野、基地</x:v>
      </x:c>
      <x:c r="F63" s="22" t="str">
        <x:v>旭川適合作為道北基地，可連接美瑛、富良野、旭岳、旭山動物園與市區美食。冬季住旭川可減少札幌來回長距離，但仍需看每天路況。</x:v>
      </x:c>
      <x:c r="G63" s="22" t="str">
        <x:v>住旭川玩美瑛、富良野、旭岳很合理。冬天可少開很多長距離。</x:v>
      </x:c>
      <x:c r="H63" s="22" t="str">
        <x:v>低</x:v>
      </x:c>
      <x:c r="I63" s="22" t="str">
        <x:v>否</x:v>
      </x:c>
      <x:c r="J63" s="22" t="str">
        <x:v>民宿導流</x:v>
      </x:c>
      <x:c r="K63" s="22" t="str"/>
      <x:c r="L63" s="22" t="str">
        <x:v>由兩份北海道 LINE 群組聊天紀錄萃取問題類型後重寫；已移除暱稱、日期、原文與個人行程細節。</x:v>
      </x:c>
    </x:row>
    <x:row r="64">
      <x:c r="A64" s="22" t="str">
        <x:v>FAQ-063</x:v>
      </x:c>
      <x:c r="B64" s="22" t="str">
        <x:v>行程路線</x:v>
      </x:c>
      <x:c r="C64" s="22" t="str">
        <x:v>旭岳安排</x:v>
      </x:c>
      <x:c r="D64" s="22" t="str">
        <x:v>旭岳要排一天還是半天？</x:v>
      </x:c>
      <x:c r="E64" s="22" t="str">
        <x:v>旭岳、纜車、半天、一天</x:v>
      </x:c>
      <x:c r="F64" s="22" t="str">
        <x:v>旭岳受天氣與纜車影響大。若只是搭纜車看景，可排半天加東川或旭川；若滑雪、健行或拍照，建議留較完整時間與備案。</x:v>
      </x:c>
      <x:c r="G64" s="22" t="str">
        <x:v>旭岳看天氣。只搭纜車可半天；滑雪或拍照建議留一天並準備備案。</x:v>
      </x:c>
      <x:c r="H64" s="22" t="str">
        <x:v>中</x:v>
      </x:c>
      <x:c r="I64" s="22" t="str">
        <x:v>是</x:v>
      </x:c>
      <x:c r="J64" s="22" t="str">
        <x:v>行程規劃</x:v>
      </x:c>
      <x:c r="K64" s="22" t="str"/>
      <x:c r="L64" s="22" t="str">
        <x:v>由兩份北海道 LINE 群組聊天紀錄萃取問題類型後重寫；已移除暱稱、日期、原文與個人行程細節。</x:v>
      </x:c>
    </x:row>
    <x:row r="65">
      <x:c r="A65" s="22" t="str">
        <x:v>FAQ-064</x:v>
      </x:c>
      <x:c r="B65" s="22" t="str">
        <x:v>行程路線</x:v>
      </x:c>
      <x:c r="C65" s="22" t="str">
        <x:v>長輩親子</x:v>
      </x:c>
      <x:c r="D65" s="22" t="str">
        <x:v>帶長輩小孩冬天北海道自駕怎麼排比較安全？</x:v>
      </x:c>
      <x:c r="E65" s="22" t="str">
        <x:v>長輩、小孩、親子、冬天自駕</x:v>
      </x:c>
      <x:c r="F65" s="22" t="str">
        <x:v>降低每天景點數，避免夜間長距離與頻繁換飯店。住宿優先選停車方便、有電梯、附近有餐廳或超市的地點。大雪天要有室內備案。</x:v>
      </x:c>
      <x:c r="G65" s="22" t="str">
        <x:v>親子長輩行程不要貪多。少換飯店、少夜駕，住宿附近要有餐廳超市。</x:v>
      </x:c>
      <x:c r="H65" s="22" t="str">
        <x:v>中</x:v>
      </x:c>
      <x:c r="I65" s="22" t="str">
        <x:v>否</x:v>
      </x:c>
      <x:c r="J65" s="22" t="str">
        <x:v>行程諮詢</x:v>
      </x:c>
      <x:c r="K65" s="22" t="str"/>
      <x:c r="L65" s="22" t="str">
        <x:v>由兩份北海道 LINE 群組聊天紀錄萃取問題類型後重寫；已移除暱稱、日期、原文與個人行程細節。</x:v>
      </x:c>
    </x:row>
    <x:row r="66">
      <x:c r="A66" s="22" t="str">
        <x:v>FAQ-065</x:v>
      </x:c>
      <x:c r="B66" s="22" t="str">
        <x:v>行程路線</x:v>
      </x:c>
      <x:c r="C66" s="22" t="str">
        <x:v>包車判斷</x:v>
      </x:c>
      <x:c r="D66" s="22" t="str">
        <x:v>什麼情況建議包車不要自駕？</x:v>
      </x:c>
      <x:c r="E66" s="22" t="str">
        <x:v>包車、不敢雪駕、七人、長輩</x:v>
      </x:c>
      <x:c r="F66" s="22" t="str">
        <x:v>多人、長輩、小孩、冬季第一次雪駕、行李多、跨區移動或想喝酒泡湯時，包車會更安心。成本較高，但可降低駕駛壓力與事故風險。</x:v>
      </x:c>
      <x:c r="G66" s="22" t="str">
        <x:v>多人、長輩、冬季第一次雪駕、行李多時，包車比硬自駕更安心。</x:v>
      </x:c>
      <x:c r="H66" s="22" t="str">
        <x:v>中</x:v>
      </x:c>
      <x:c r="I66" s="22" t="str">
        <x:v>否</x:v>
      </x:c>
      <x:c r="J66" s="22" t="str">
        <x:v>包車導流</x:v>
      </x:c>
      <x:c r="K66" s="22" t="str"/>
      <x:c r="L66" s="22" t="str">
        <x:v>由兩份北海道 LINE 群組聊天紀錄萃取問題類型後重寫；已移除暱稱、日期、原文與個人行程細節。</x:v>
      </x:c>
    </x:row>
    <x:row r="67">
      <x:c r="A67" s="22" t="str">
        <x:v>FAQ-066</x:v>
      </x:c>
      <x:c r="B67" s="22" t="str">
        <x:v>行程路線</x:v>
      </x:c>
      <x:c r="C67" s="22" t="str">
        <x:v>道東流冰</x:v>
      </x:c>
      <x:c r="D67" s="22" t="str">
        <x:v>流冰行程什麼月份比較保險？</x:v>
      </x:c>
      <x:c r="E67" s="22" t="str">
        <x:v>流冰、破冰船、網走、紋別</x:v>
      </x:c>
      <x:c r="F67" s="22" t="str">
        <x:v>流冰受年度氣候變化影響，通常 2 月較常被視為較有機會的時段，但無法保證。網走與紋別位置、船班與交通不同，行程應查官方流冰資訊與船班公告。</x:v>
      </x:c>
      <x:c r="G67" s="22" t="str">
        <x:v>流冰不能保證，通常 2 月機率較高。出發前看官方流冰與船班資訊。</x:v>
      </x:c>
      <x:c r="H67" s="22" t="str">
        <x:v>中</x:v>
      </x:c>
      <x:c r="I67" s="22" t="str">
        <x:v>是</x:v>
      </x:c>
      <x:c r="J67" s="22" t="str">
        <x:v>行程內容</x:v>
      </x:c>
      <x:c r="K67" s="22" t="str"/>
      <x:c r="L67" s="22" t="str">
        <x:v>由兩份北海道 LINE 群組聊天紀錄萃取問題類型後重寫；已移除暱稱、日期、原文與個人行程細節。</x:v>
      </x:c>
    </x:row>
    <x:row r="68">
      <x:c r="A68" s="22" t="str">
        <x:v>FAQ-067</x:v>
      </x:c>
      <x:c r="B68" s="22" t="str">
        <x:v>行程路線</x:v>
      </x:c>
      <x:c r="C68" s="22" t="str">
        <x:v>洞爺湖煙火</x:v>
      </x:c>
      <x:c r="D68" s="22" t="str">
        <x:v>洞爺湖煙火值得搭船看嗎？</x:v>
      </x:c>
      <x:c r="E68" s="22" t="str">
        <x:v>洞爺湖、煙火、船上、陸上</x:v>
      </x:c>
      <x:c r="F68" s="22" t="str">
        <x:v>若住宿飯店視野好，在湖畔或飯店觀看即可。搭船體驗感較強，但不一定比陸上壯觀。可依預算、天氣與住宿位置決定。</x:v>
      </x:c>
      <x:c r="G68" s="22" t="str">
        <x:v>住湖畔飯店的話陸上看通常就夠。想體驗再搭船，不必過度期待規模。</x:v>
      </x:c>
      <x:c r="H68" s="22" t="str">
        <x:v>低</x:v>
      </x:c>
      <x:c r="I68" s="22" t="str">
        <x:v>否</x:v>
      </x:c>
      <x:c r="J68" s="22" t="str">
        <x:v>內容題庫</x:v>
      </x:c>
      <x:c r="K68" s="22" t="str"/>
      <x:c r="L68" s="22" t="str">
        <x:v>由兩份北海道 LINE 群組聊天紀錄萃取問題類型後重寫；已移除暱稱、日期、原文與個人行程細節。</x:v>
      </x:c>
    </x:row>
    <x:row r="69">
      <x:c r="A69" s="22" t="str">
        <x:v>FAQ-068</x:v>
      </x:c>
      <x:c r="B69" s="22" t="str">
        <x:v>行程路線</x:v>
      </x:c>
      <x:c r="C69" s="22" t="str">
        <x:v>飯店位置</x:v>
      </x:c>
      <x:c r="D69" s="22" t="str">
        <x:v>冬天札幌飯店要選車站旁還是中島公園？</x:v>
      </x:c>
      <x:c r="E69" s="22" t="str">
        <x:v>札幌飯店、中島公園、車站旁、冬天拉行李</x:v>
      </x:c>
      <x:c r="F69" s="22" t="str">
        <x:v>冬天拉行李走雪地會很辛苦，若依賴 JR、地鐵或一日遊集合，車站旁或地下街可達的位置更方便。自駕則要優先看停車場。</x:v>
      </x:c>
      <x:c r="G69" s="22" t="str">
        <x:v>冬天不想拉行李走雪地，選車站旁或地下街方便處。自駕則先看停車。</x:v>
      </x:c>
      <x:c r="H69" s="22" t="str">
        <x:v>低</x:v>
      </x:c>
      <x:c r="I69" s="22" t="str">
        <x:v>否</x:v>
      </x:c>
      <x:c r="J69" s="22" t="str">
        <x:v>住宿導流</x:v>
      </x:c>
      <x:c r="K69" s="22" t="str"/>
      <x:c r="L69" s="22" t="str">
        <x:v>由兩份北海道 LINE 群組聊天紀錄萃取問題類型後重寫；已移除暱稱、日期、原文與個人行程細節。</x:v>
      </x:c>
    </x:row>
    <x:row r="70">
      <x:c r="A70" s="22" t="str">
        <x:v>FAQ-069</x:v>
      </x:c>
      <x:c r="B70" s="22" t="str">
        <x:v>行程路線</x:v>
      </x:c>
      <x:c r="C70" s="22" t="str">
        <x:v>大雪備案</x:v>
      </x:c>
      <x:c r="D70" s="22" t="str">
        <x:v>大雪天不能去美瑛，旭川可以改去哪？</x:v>
      </x:c>
      <x:c r="E70" s="22" t="str">
        <x:v>大雪備案、旭川、美瑛取消、室內</x:v>
      </x:c>
      <x:c r="F70" s="22" t="str">
        <x:v>可改成旭山動物園、旭川拉麵村、AEON、超市採買、科學館、咖啡店或市區美食。視風雪程度決定是否開車，必要時留在住宿附近。</x:v>
      </x:c>
      <x:c r="G70" s="22" t="str">
        <x:v>美瑛大雪可改旭川市區：動物園、拉麵村、AEON、超市、咖啡。安全第一。</x:v>
      </x:c>
      <x:c r="H70" s="22" t="str">
        <x:v>低</x:v>
      </x:c>
      <x:c r="I70" s="22" t="str">
        <x:v>否</x:v>
      </x:c>
      <x:c r="J70" s="22" t="str">
        <x:v>民宿住客服務</x:v>
      </x:c>
      <x:c r="K70" s="22" t="str"/>
      <x:c r="L70" s="22" t="str">
        <x:v>由兩份北海道 LINE 群組聊天紀錄萃取問題類型後重寫；已移除暱稱、日期、原文與個人行程細節。</x:v>
      </x:c>
    </x:row>
    <x:row r="71">
      <x:c r="A71" s="22" t="str">
        <x:v>FAQ-070</x:v>
      </x:c>
      <x:c r="B71" s="22" t="str">
        <x:v>行程路線</x:v>
      </x:c>
      <x:c r="C71" s="22" t="str">
        <x:v>每天移動距離</x:v>
      </x:c>
      <x:c r="D71" s="22" t="str">
        <x:v>北海道行程一天開幾小時算太多？</x:v>
      </x:c>
      <x:c r="E71" s="22" t="str">
        <x:v>開車時間、長距離、移動日、行程太滿</x:v>
      </x:c>
      <x:c r="F71" s="22" t="str">
        <x:v>夏季與冬季標準不同。冬天日照短、路況變數大，一天長距離移動後不宜再排太多景點。建議把 Google Map 車程乘上 1.2–1.5 作保守估算。</x:v>
      </x:c>
      <x:c r="G71" s="22" t="str">
        <x:v>冬天車程請抓 Google Map 的 1.2–1.5 倍。一天長距離後不要再塞滿景點。</x:v>
      </x:c>
      <x:c r="H71" s="22" t="str">
        <x:v>中</x:v>
      </x:c>
      <x:c r="I71" s="22" t="str">
        <x:v>否</x:v>
      </x:c>
      <x:c r="J71" s="22" t="str">
        <x:v>行程健檢</x:v>
      </x:c>
      <x:c r="K71" s="22" t="str"/>
      <x:c r="L71" s="22" t="str">
        <x:v>由兩份北海道 LINE 群組聊天紀錄萃取問題類型後重寫；已移除暱稱、日期、原文與個人行程細節。</x:v>
      </x:c>
    </x:row>
    <x:row r="72">
      <x:c r="A72" s="22" t="str">
        <x:v>FAQ-071</x:v>
      </x:c>
      <x:c r="B72" s="22" t="str">
        <x:v>拍照禮儀與景點風險</x:v>
      </x:c>
      <x:c r="C72" s="22" t="str">
        <x:v>美瑛農田</x:v>
      </x:c>
      <x:c r="D72" s="22" t="str">
        <x:v>美瑛雪地看起來很美，可以走進去拍照嗎？</x:v>
      </x:c>
      <x:c r="E72" s="22" t="str">
        <x:v>美瑛、農田、雪地、踩進去</x:v>
      </x:c>
      <x:c r="F72" s="22" t="str">
        <x:v>不可以。雪地下面可能是農田、作物或私人土地，踩入會造成農損與地方反感。應在公共道路、停車場或允許區域拍照。</x:v>
      </x:c>
      <x:c r="G72" s="22" t="str">
        <x:v>不要踩進美瑛農田或雪地。雪下面可能是作物或私有地，只在允許區域拍照。</x:v>
      </x:c>
      <x:c r="H72" s="22" t="str">
        <x:v>高</x:v>
      </x:c>
      <x:c r="I72" s="22" t="str">
        <x:v>是</x:v>
      </x:c>
      <x:c r="J72" s="22" t="str">
        <x:v>LINE Bot／拍照禁區</x:v>
      </x:c>
      <x:c r="K72" s="22" t="str"/>
      <x:c r="L72" s="22" t="str">
        <x:v>由兩份北海道 LINE 群組聊天紀錄萃取問題類型後重寫；已移除暱稱、日期、原文與個人行程細節。</x:v>
      </x:c>
    </x:row>
    <x:row r="73">
      <x:c r="A73" s="22" t="str">
        <x:v>FAQ-072</x:v>
      </x:c>
      <x:c r="B73" s="22" t="str">
        <x:v>拍照禮儀與景點風險</x:v>
      </x:c>
      <x:c r="C73" s="22" t="str">
        <x:v>路邊臨停拍照</x:v>
      </x:c>
      <x:c r="D73" s="22" t="str">
        <x:v>美瑛丘陵可以路邊臨停拍照嗎？</x:v>
      </x:c>
      <x:c r="E73" s="22" t="str">
        <x:v>臨停、拍照、美瑛丘陵、路邊</x:v>
      </x:c>
      <x:c r="F73" s="22" t="str">
        <x:v>不建議在狹窄道路、彎道、坡頂或除雪後路肩臨停。應使用正式停車場或安全寬敞處，避免影響農機、居民車與除雪車。</x:v>
      </x:c>
      <x:c r="G73" s="22" t="str">
        <x:v>不要為拍照停在道路中央、彎道或坡頂。請找正式停車場或安全處。</x:v>
      </x:c>
      <x:c r="H73" s="22" t="str">
        <x:v>高</x:v>
      </x:c>
      <x:c r="I73" s="22" t="str">
        <x:v>是</x:v>
      </x:c>
      <x:c r="J73" s="22" t="str">
        <x:v>LINE Bot／拍照提醒</x:v>
      </x:c>
      <x:c r="K73" s="22" t="str"/>
      <x:c r="L73" s="22" t="str">
        <x:v>由兩份北海道 LINE 群組聊天紀錄萃取問題類型後重寫；已移除暱稱、日期、原文與個人行程細節。</x:v>
      </x:c>
    </x:row>
    <x:row r="74">
      <x:c r="A74" s="22" t="str">
        <x:v>FAQ-073</x:v>
      </x:c>
      <x:c r="B74" s="22" t="str">
        <x:v>拍照禮儀與景點風險</x:v>
      </x:c>
      <x:c r="C74" s="22" t="str">
        <x:v>私人住宅</x:v>
      </x:c>
      <x:c r="D74" s="22" t="str">
        <x:v>看到漂亮房子或民宿可以拍照嗎？</x:v>
      </x:c>
      <x:c r="E74" s="22" t="str">
        <x:v>私人住宅、拍照、民宿外觀、居民</x:v>
      </x:c>
      <x:c r="F74" s="22" t="str">
        <x:v>拍建築外觀也要尊重居民隱私，避免拍到住戶、車牌、門牌與室內。不要進入私有地或靠近窗戶拍攝。</x:v>
      </x:c>
      <x:c r="G74" s="22" t="str">
        <x:v>漂亮房子不等於可近拍。不要進私有地，不拍住戶、車牌、門牌。</x:v>
      </x:c>
      <x:c r="H74" s="22" t="str">
        <x:v>中</x:v>
      </x:c>
      <x:c r="I74" s="22" t="str">
        <x:v>否</x:v>
      </x:c>
      <x:c r="J74" s="22" t="str">
        <x:v>社群提醒</x:v>
      </x:c>
      <x:c r="K74" s="22" t="str"/>
      <x:c r="L74" s="22" t="str">
        <x:v>由兩份北海道 LINE 群組聊天紀錄萃取問題類型後重寫；已移除暱稱、日期、原文與個人行程細節。</x:v>
      </x:c>
    </x:row>
    <x:row r="75">
      <x:c r="A75" s="22" t="str">
        <x:v>FAQ-074</x:v>
      </x:c>
      <x:c r="B75" s="22" t="str">
        <x:v>拍照禮儀與景點風險</x:v>
      </x:c>
      <x:c r="C75" s="22" t="str">
        <x:v>無人機</x:v>
      </x:c>
      <x:c r="D75" s="22" t="str">
        <x:v>北海道景點可以飛無人機嗎？</x:v>
      </x:c>
      <x:c r="E75" s="22" t="str">
        <x:v>無人機、空拍、ドローン</x:v>
      </x:c>
      <x:c r="F75" s="22" t="str">
        <x:v>無人機涉及航空法、地方規定、私有地、國立公園與人群安全。未確認許可前不建議飛行，尤其景點、農地、機場周邊與山區。</x:v>
      </x:c>
      <x:c r="G75" s="22" t="str">
        <x:v>無人機不要想飛就飛。先查法律、地點規定與許可，景點與農地尤其要小心。</x:v>
      </x:c>
      <x:c r="H75" s="22" t="str">
        <x:v>高</x:v>
      </x:c>
      <x:c r="I75" s="22" t="str">
        <x:v>是</x:v>
      </x:c>
      <x:c r="J75" s="22" t="str">
        <x:v>LINE Bot／景點法規</x:v>
      </x:c>
      <x:c r="K75" s="22" t="str"/>
      <x:c r="L75" s="22" t="str">
        <x:v>由兩份北海道 LINE 群組聊天紀錄萃取問題類型後重寫；已移除暱稱、日期、原文與個人行程細節。</x:v>
      </x:c>
    </x:row>
    <x:row r="76">
      <x:c r="A76" s="22" t="str">
        <x:v>FAQ-075</x:v>
      </x:c>
      <x:c r="B76" s="22" t="str">
        <x:v>拍照禮儀與景點風險</x:v>
      </x:c>
      <x:c r="C76" s="22" t="str">
        <x:v>冬季路肩</x:v>
      </x:c>
      <x:c r="D76" s="22" t="str">
        <x:v>冬天路肩很寬，可以停車嗎？</x:v>
      </x:c>
      <x:c r="E76" s="22" t="str">
        <x:v>路肩、除雪、停車、雪壁</x:v>
      </x:c>
      <x:c r="F76" s="22" t="str">
        <x:v>冬季路肩可能是積雪、排水溝或除雪空間，不一定能安全停車。停車可能妨礙除雪車或造成追撞風險，應使用正式停車場。</x:v>
      </x:c>
      <x:c r="G76" s="22" t="str">
        <x:v>冬天路肩不一定能停。可能是雪堆或排水溝，也會擋除雪車，請找停車場。</x:v>
      </x:c>
      <x:c r="H76" s="22" t="str">
        <x:v>高</x:v>
      </x:c>
      <x:c r="I76" s="22" t="str">
        <x:v>是</x:v>
      </x:c>
      <x:c r="J76" s="22" t="str">
        <x:v>LINE Bot／雪季拍照</x:v>
      </x:c>
      <x:c r="K76" s="22" t="str"/>
      <x:c r="L76" s="22" t="str">
        <x:v>由兩份北海道 LINE 群組聊天紀錄萃取問題類型後重寫；已移除暱稱、日期、原文與個人行程細節。</x:v>
      </x:c>
    </x:row>
    <x:row r="77">
      <x:c r="A77" s="22" t="str">
        <x:v>FAQ-076</x:v>
      </x:c>
      <x:c r="B77" s="22" t="str">
        <x:v>拍照禮儀與景點風險</x:v>
      </x:c>
      <x:c r="C77" s="22" t="str">
        <x:v>青池人潮</x:v>
      </x:c>
      <x:c r="D77" s="22" t="str">
        <x:v>白金青池人多時怎麼安排？</x:v>
      </x:c>
      <x:c r="E77" s="22" t="str">
        <x:v>青池、白金、人潮、停車</x:v>
      </x:c>
      <x:c r="F77" s="22" t="str">
        <x:v>熱門時段停車與拍照人潮多，建議提早出發或避開尖峰。冬季要注意道路結冰、停車場入口排隊與步道濕滑。</x:v>
      </x:c>
      <x:c r="G77" s="22" t="str">
        <x:v>青池熱門時段人多。提早去、注意停車排隊與步道結冰。</x:v>
      </x:c>
      <x:c r="H77" s="22" t="str">
        <x:v>低</x:v>
      </x:c>
      <x:c r="I77" s="22" t="str">
        <x:v>否</x:v>
      </x:c>
      <x:c r="J77" s="22" t="str">
        <x:v>景點提醒</x:v>
      </x:c>
      <x:c r="K77" s="22" t="str"/>
      <x:c r="L77" s="22" t="str">
        <x:v>由兩份北海道 LINE 群組聊天紀錄萃取問題類型後重寫；已移除暱稱、日期、原文與個人行程細節。</x:v>
      </x:c>
    </x:row>
    <x:row r="78">
      <x:c r="A78" s="22" t="str">
        <x:v>FAQ-077</x:v>
      </x:c>
      <x:c r="B78" s="22" t="str">
        <x:v>拍照禮儀與景點風險</x:v>
      </x:c>
      <x:c r="C78" s="22" t="str">
        <x:v>親子景點</x:v>
      </x:c>
      <x:c r="D78" s="22" t="str">
        <x:v>帶小孩雪地拍照要注意什麼？</x:v>
      </x:c>
      <x:c r="E78" s="22" t="str">
        <x:v>小孩、雪地拍照、親子</x:v>
      </x:c>
      <x:c r="F78" s="22" t="str">
        <x:v>注意保暖、防滑與車輛動線。不要讓孩子在道路旁、停車場車道或不明雪地奔跑。雪堆後方可能有車或落差。</x:v>
      </x:c>
      <x:c r="G78" s="22" t="str">
        <x:v>孩子不要在道路旁雪堆玩。雪堆後面可能有車或落差，拍照請離車道遠一點。</x:v>
      </x:c>
      <x:c r="H78" s="22" t="str">
        <x:v>中</x:v>
      </x:c>
      <x:c r="I78" s="22" t="str">
        <x:v>否</x:v>
      </x:c>
      <x:c r="J78" s="22" t="str">
        <x:v>親子提醒</x:v>
      </x:c>
      <x:c r="K78" s="22" t="str"/>
      <x:c r="L78" s="22" t="str">
        <x:v>由兩份北海道 LINE 群組聊天紀錄萃取問題類型後重寫；已移除暱稱、日期、原文與個人行程細節。</x:v>
      </x:c>
    </x:row>
    <x:row r="79">
      <x:c r="A79" s="22" t="str">
        <x:v>FAQ-078</x:v>
      </x:c>
      <x:c r="B79" s="22" t="str">
        <x:v>拍照禮儀與景點風險</x:v>
      </x:c>
      <x:c r="C79" s="22" t="str">
        <x:v>動物互動</x:v>
      </x:c>
      <x:c r="D79" s="22" t="str">
        <x:v>看到狐狸或野生動物可以餵食嗎？</x:v>
      </x:c>
      <x:c r="E79" s="22" t="str">
        <x:v>狐狸、野生動物、餵食</x:v>
      </x:c>
      <x:c r="F79" s="22" t="str">
        <x:v>不應餵食野生動物，可能造成疾病、攻擊、交通事故與生態問題。保持距離拍照，不要下車追逐或引誘。</x:v>
      </x:c>
      <x:c r="G79" s="22" t="str">
        <x:v>不要餵狐狸或野生動物。保持距離，不追、不摸、不餵。</x:v>
      </x:c>
      <x:c r="H79" s="22" t="str">
        <x:v>中</x:v>
      </x:c>
      <x:c r="I79" s="22" t="str">
        <x:v>是</x:v>
      </x:c>
      <x:c r="J79" s="22" t="str">
        <x:v>社群提醒</x:v>
      </x:c>
      <x:c r="K79" s="22" t="str"/>
      <x:c r="L79" s="22" t="str">
        <x:v>由兩份北海道 LINE 群組聊天紀錄萃取問題類型後重寫；已移除暱稱、日期、原文與個人行程細節。</x:v>
      </x:c>
    </x:row>
    <x:row r="80">
      <x:c r="A80" s="22" t="str">
        <x:v>FAQ-079</x:v>
      </x:c>
      <x:c r="B80" s="22" t="str">
        <x:v>拍照禮儀與景點風險</x:v>
      </x:c>
      <x:c r="C80" s="22" t="str">
        <x:v>排隊禮儀</x:v>
      </x:c>
      <x:c r="D80" s="22" t="str">
        <x:v>熱門餐廳或景點排隊有什麼注意事項？</x:v>
      </x:c>
      <x:c r="E80" s="22" t="str">
        <x:v>排隊、餐廳、景點、插隊</x:v>
      </x:c>
      <x:c r="F80" s="22" t="str">
        <x:v>遵守排隊順序，不代排過多人、不擋出入口。若餐廳規定寫名或取號，先確認流程。雪天排隊注意不要阻礙道路與店家門口。</x:v>
      </x:c>
      <x:c r="G80" s="22" t="str">
        <x:v>熱門店先看取號或寫名規則。不要插隊或擋門口，雪天更要注意動線。</x:v>
      </x:c>
      <x:c r="H80" s="22" t="str">
        <x:v>低</x:v>
      </x:c>
      <x:c r="I80" s="22" t="str">
        <x:v>否</x:v>
      </x:c>
      <x:c r="J80" s="22" t="str">
        <x:v>旅遊禮儀</x:v>
      </x:c>
      <x:c r="K80" s="22" t="str"/>
      <x:c r="L80" s="22" t="str">
        <x:v>由兩份北海道 LINE 群組聊天紀錄萃取問題類型後重寫；已移除暱稱、日期、原文與個人行程細節。</x:v>
      </x:c>
    </x:row>
    <x:row r="81">
      <x:c r="A81" s="22" t="str">
        <x:v>FAQ-080</x:v>
      </x:c>
      <x:c r="B81" s="22" t="str">
        <x:v>拍照禮儀與景點風險</x:v>
      </x:c>
      <x:c r="C81" s="22" t="str">
        <x:v>垃圾</x:v>
      </x:c>
      <x:c r="D81" s="22" t="str">
        <x:v>自駕途中垃圾怎麼處理？</x:v>
      </x:c>
      <x:c r="E81" s="22" t="str">
        <x:v>垃圾、便利商店、車內垃圾</x:v>
      </x:c>
      <x:c r="F81" s="22" t="str">
        <x:v>日本公共垃圾桶少，便利商店也不一定接受外帶垃圾。建議準備垃圾袋，帶回住宿或可丟棄場所分類處理，不要丟在景點或停車場。</x:v>
      </x:c>
      <x:c r="G81" s="22" t="str">
        <x:v>車上準備垃圾袋。不要把垃圾丟景點或停車場，帶回住宿或可丟棄處。</x:v>
      </x:c>
      <x:c r="H81" s="22" t="str">
        <x:v>低</x:v>
      </x:c>
      <x:c r="I81" s="22" t="str">
        <x:v>否</x:v>
      </x:c>
      <x:c r="J81" s="22" t="str">
        <x:v>住客 SOP</x:v>
      </x:c>
      <x:c r="K81" s="22" t="str"/>
      <x:c r="L81" s="22" t="str">
        <x:v>由兩份北海道 LINE 群組聊天紀錄萃取問題類型後重寫；已移除暱稱、日期、原文與個人行程細節。</x:v>
      </x:c>
    </x:row>
    <x:row r="82">
      <x:c r="A82" s="22" t="str">
        <x:v>FAQ-081</x:v>
      </x:c>
      <x:c r="B82" s="22" t="str">
        <x:v>住宿餐廳與購物</x:v>
      </x:c>
      <x:c r="C82" s="22" t="str">
        <x:v>飯店取消</x:v>
      </x:c>
      <x:c r="D82" s="22" t="str">
        <x:v>大雪或交通意外導致不能入住，飯店會退費嗎？</x:v>
      </x:c>
      <x:c r="E82" s="22" t="str">
        <x:v>飯店取消、大雪、交通意外、no show</x:v>
      </x:c>
      <x:c r="F82" s="22" t="str">
        <x:v>能否退費取決於飯店與訂房平台規定。日本住宿通常重視事前告知；若確定無法抵達，應立即聯絡飯店，說明原因並詢問延期、取消或保留可能。</x:v>
      </x:c>
      <x:c r="G82" s="22" t="str">
        <x:v>不能入住要先聯絡飯店，不要 no show。能否退費看規定，但有告知才有協商空間。</x:v>
      </x:c>
      <x:c r="H82" s="22" t="str">
        <x:v>中</x:v>
      </x:c>
      <x:c r="I82" s="22" t="str">
        <x:v>是</x:v>
      </x:c>
      <x:c r="J82" s="22" t="str">
        <x:v>住宿客服 SOP</x:v>
      </x:c>
      <x:c r="K82" s="22" t="str"/>
      <x:c r="L82" s="22" t="str">
        <x:v>由兩份北海道 LINE 群組聊天紀錄萃取問題類型後重寫；已移除暱稱、日期、原文與個人行程細節。</x:v>
      </x:c>
    </x:row>
    <x:row r="83">
      <x:c r="A83" s="22" t="str">
        <x:v>FAQ-082</x:v>
      </x:c>
      <x:c r="B83" s="22" t="str">
        <x:v>住宿餐廳與購物</x:v>
      </x:c>
      <x:c r="C83" s="22" t="str">
        <x:v>晚到入住</x:v>
      </x:c>
      <x:c r="D83" s="22" t="str">
        <x:v>大雪導致晚到飯店，怎麼通知？</x:v>
      </x:c>
      <x:c r="E83" s="22" t="str">
        <x:v>晚到、check in、飯店、大雪</x:v>
      </x:c>
      <x:c r="F83" s="22" t="str">
        <x:v>若會超過最晚入住時間，應立即通知飯店，說明預計抵達時間與原因。部分旅館晚間無人櫃台，可能需要安排自助入住或更改入住方式。</x:v>
      </x:c>
      <x:c r="G83" s="22" t="str">
        <x:v>晚到一定要通知飯店。尤其溫泉旅館或小民宿，超過時間可能沒人接待。</x:v>
      </x:c>
      <x:c r="H83" s="22" t="str">
        <x:v>中</x:v>
      </x:c>
      <x:c r="I83" s="22" t="str">
        <x:v>是</x:v>
      </x:c>
      <x:c r="J83" s="22" t="str">
        <x:v>住宿客服 SOP</x:v>
      </x:c>
      <x:c r="K83" s="22" t="str"/>
      <x:c r="L83" s="22" t="str">
        <x:v>由兩份北海道 LINE 群組聊天紀錄萃取問題類型後重寫；已移除暱稱、日期、原文與個人行程細節。</x:v>
      </x:c>
    </x:row>
    <x:row r="84">
      <x:c r="A84" s="22" t="str">
        <x:v>FAQ-083</x:v>
      </x:c>
      <x:c r="B84" s="22" t="str">
        <x:v>住宿餐廳與購物</x:v>
      </x:c>
      <x:c r="C84" s="22" t="str">
        <x:v>溫泉旅館</x:v>
      </x:c>
      <x:c r="D84" s="22" t="str">
        <x:v>溫泉旅館晚餐時間可以很晚嗎？</x:v>
      </x:c>
      <x:c r="E84" s="22" t="str">
        <x:v>溫泉旅館、晚餐、check in、會席</x:v>
      </x:c>
      <x:c r="F84" s="22" t="str">
        <x:v>溫泉旅館晚餐通常有固定時段，太晚抵達可能無法供餐或影響服務。訂房前要確認最晚入住與晚餐時間，行程不要排得太滿。</x:v>
      </x:c>
      <x:c r="G84" s="22" t="str">
        <x:v>溫泉旅館晚餐有時間限制。當天不要排太遠，晚到可能沒飯吃。</x:v>
      </x:c>
      <x:c r="H84" s="22" t="str">
        <x:v>中</x:v>
      </x:c>
      <x:c r="I84" s="22" t="str">
        <x:v>否</x:v>
      </x:c>
      <x:c r="J84" s="22" t="str">
        <x:v>行程提醒</x:v>
      </x:c>
      <x:c r="K84" s="22" t="str"/>
      <x:c r="L84" s="22" t="str">
        <x:v>由兩份北海道 LINE 群組聊天紀錄萃取問題類型後重寫；已移除暱稱、日期、原文與個人行程細節。</x:v>
      </x:c>
    </x:row>
    <x:row r="85">
      <x:c r="A85" s="22" t="str">
        <x:v>FAQ-084</x:v>
      </x:c>
      <x:c r="B85" s="22" t="str">
        <x:v>住宿餐廳與購物</x:v>
      </x:c>
      <x:c r="C85" s="22" t="str">
        <x:v>餐廳預約</x:v>
      </x:c>
      <x:c r="D85" s="22" t="str">
        <x:v>北海道熱門餐廳需要預約嗎？</x:v>
      </x:c>
      <x:c r="E85" s="22" t="str">
        <x:v>餐廳預約、排隊、Toriton、居酒屋</x:v>
      </x:c>
      <x:c r="F85" s="22" t="str">
        <x:v>熱門迴轉壽司、居酒屋、燒肉與觀光區餐廳常需排隊或預約。多人、週末、雪季與晚餐時段建議先查營業時間與預約方式。</x:v>
      </x:c>
      <x:c r="G85" s="22" t="str">
        <x:v>熱門餐廳請先查營業時間與預約。多人或晚餐不要現場賭運氣。</x:v>
      </x:c>
      <x:c r="H85" s="22" t="str">
        <x:v>低</x:v>
      </x:c>
      <x:c r="I85" s="22" t="str">
        <x:v>否</x:v>
      </x:c>
      <x:c r="J85" s="22" t="str">
        <x:v>美食地圖</x:v>
      </x:c>
      <x:c r="K85" s="22" t="str"/>
      <x:c r="L85" s="22" t="str">
        <x:v>由兩份北海道 LINE 群組聊天紀錄萃取問題類型後重寫；已移除暱稱、日期、原文與個人行程細節。</x:v>
      </x:c>
    </x:row>
    <x:row r="86">
      <x:c r="A86" s="22" t="str">
        <x:v>FAQ-085</x:v>
      </x:c>
      <x:c r="B86" s="22" t="str">
        <x:v>住宿餐廳與購物</x:v>
      </x:c>
      <x:c r="C86" s="22" t="str">
        <x:v>螃蟹價格</x:v>
      </x:c>
      <x:c r="D86" s="22" t="str">
        <x:v>北海道吃帝王蟹一定比台灣便宜嗎？</x:v>
      </x:c>
      <x:c r="E86" s="22" t="str">
        <x:v>帝王蟹、毛蟹、札幌場外、價格</x:v>
      </x:c>
      <x:c r="F86" s="22" t="str">
        <x:v>不一定。帝王蟹價格可能很高，觀光市場未必便宜。道民也常吃毛蟹或其他當季海鮮。建議先比較價格、重量、產地與料理方式。</x:v>
      </x:c>
      <x:c r="G86" s="22" t="str">
        <x:v>帝王蟹不一定便宜。毛蟹或當季海鮮有時更划算，買前看重量和價格。</x:v>
      </x:c>
      <x:c r="H86" s="22" t="str">
        <x:v>低</x:v>
      </x:c>
      <x:c r="I86" s="22" t="str">
        <x:v>否</x:v>
      </x:c>
      <x:c r="J86" s="22" t="str">
        <x:v>美食內容</x:v>
      </x:c>
      <x:c r="K86" s="22" t="str"/>
      <x:c r="L86" s="22" t="str">
        <x:v>由兩份北海道 LINE 群組聊天紀錄萃取問題類型後重寫；已移除暱稱、日期、原文與個人行程細節。</x:v>
      </x:c>
    </x:row>
    <x:row r="87">
      <x:c r="A87" s="22" t="str">
        <x:v>FAQ-086</x:v>
      </x:c>
      <x:c r="B87" s="22" t="str">
        <x:v>住宿餐廳與購物</x:v>
      </x:c>
      <x:c r="C87" s="22" t="str">
        <x:v>藥妝土產</x:v>
      </x:c>
      <x:c r="D87" s="22" t="str">
        <x:v>札幌藥妝或唐吉訶德一定買得到特定商品嗎？</x:v>
      </x:c>
      <x:c r="E87" s="22" t="str">
        <x:v>藥妝、唐吉訶德、土產、干貝</x:v>
      </x:c>
      <x:c r="F87" s="22" t="str">
        <x:v>不一定。商品會因店鋪、庫存與季節不同。若是特定品牌或食品，建議先查店鋪、官網或直接詢問，避免行程中特地繞路卻買不到。</x:v>
      </x:c>
      <x:c r="G87" s="22" t="str">
        <x:v>特定商品不保證每間都有。先查店鋪或問店家，別為單一商品硬繞路。</x:v>
      </x:c>
      <x:c r="H87" s="22" t="str">
        <x:v>低</x:v>
      </x:c>
      <x:c r="I87" s="22" t="str">
        <x:v>否</x:v>
      </x:c>
      <x:c r="J87" s="22" t="str">
        <x:v>購物 FAQ</x:v>
      </x:c>
      <x:c r="K87" s="22" t="str"/>
      <x:c r="L87" s="22" t="str">
        <x:v>由兩份北海道 LINE 群組聊天紀錄萃取問題類型後重寫；已移除暱稱、日期、原文與個人行程細節。</x:v>
      </x:c>
    </x:row>
    <x:row r="88">
      <x:c r="A88" s="22" t="str">
        <x:v>FAQ-087</x:v>
      </x:c>
      <x:c r="B88" s="22" t="str">
        <x:v>住宿餐廳與購物</x:v>
      </x:c>
      <x:c r="C88" s="22" t="str">
        <x:v>便利商店</x:v>
      </x:c>
      <x:c r="D88" s="22" t="str">
        <x:v>便利商店可以解決哪些旅途中問題？</x:v>
      </x:c>
      <x:c r="E88" s="22" t="str">
        <x:v>便利商店、ATM、廁所、影印</x:v>
      </x:c>
      <x:c r="F88" s="22" t="str">
        <x:v>便利商店可補現金、買簡餐熱飲、使用廁所、影印列印、簡單避寒與查路線。但鄉下分店距離較遠，冬天不要等油量或現金太低才找。</x:v>
      </x:c>
      <x:c r="G88" s="22" t="str">
        <x:v>便利商店是自駕救急點：ATM、熱食、廁所、避寒。但鄉下距離遠，別等最後才找。</x:v>
      </x:c>
      <x:c r="H88" s="22" t="str">
        <x:v>低</x:v>
      </x:c>
      <x:c r="I88" s="22" t="str">
        <x:v>否</x:v>
      </x:c>
      <x:c r="J88" s="22" t="str">
        <x:v>LINE Bot／地圖</x:v>
      </x:c>
      <x:c r="K88" s="22" t="str"/>
      <x:c r="L88" s="22" t="str">
        <x:v>由兩份北海道 LINE 群組聊天紀錄萃取問題類型後重寫；已移除暱稱、日期、原文與個人行程細節。</x:v>
      </x:c>
    </x:row>
    <x:row r="89">
      <x:c r="A89" s="22" t="str">
        <x:v>FAQ-088</x:v>
      </x:c>
      <x:c r="B89" s="22" t="str">
        <x:v>住宿餐廳與購物</x:v>
      </x:c>
      <x:c r="C89" s="22" t="str">
        <x:v>營業時間</x:v>
      </x:c>
      <x:c r="D89" s="22" t="str">
        <x:v>Google Map 顯示營業中就一定有開嗎？</x:v>
      </x:c>
      <x:c r="E89" s="22" t="str">
        <x:v>營業時間、Google Map、公休日、臨時休業</x:v>
      </x:c>
      <x:c r="F89" s="22" t="str">
        <x:v>不一定。小店可能臨時休業、售完提早關門或冬季營業時間不同。重要餐廳建議查官方 SNS、官網或電話確認。</x:v>
      </x:c>
      <x:c r="G89" s="22" t="str">
        <x:v>Google Map 僅供參考。小店可能臨休或售完，重要餐廳先查官方 SNS。</x:v>
      </x:c>
      <x:c r="H89" s="22" t="str">
        <x:v>低</x:v>
      </x:c>
      <x:c r="I89" s="22" t="str">
        <x:v>否</x:v>
      </x:c>
      <x:c r="J89" s="22" t="str">
        <x:v>美食地圖</x:v>
      </x:c>
      <x:c r="K89" s="22" t="str"/>
      <x:c r="L89" s="22" t="str">
        <x:v>由兩份北海道 LINE 群組聊天紀錄萃取問題類型後重寫；已移除暱稱、日期、原文與個人行程細節。</x:v>
      </x:c>
    </x:row>
    <x:row r="90">
      <x:c r="A90" s="22" t="str">
        <x:v>FAQ-089</x:v>
      </x:c>
      <x:c r="B90" s="22" t="str">
        <x:v>住宿餐廳與購物</x:v>
      </x:c>
      <x:c r="C90" s="22" t="str">
        <x:v>飯店停車</x:v>
      </x:c>
      <x:c r="D90" s="22" t="str">
        <x:v>訂飯店時停車場要看哪些條件？</x:v>
      </x:c>
      <x:c r="E90" s="22" t="str">
        <x:v>飯店停車、停車場、自駕住宿</x:v>
      </x:c>
      <x:c r="F90" s="22" t="str">
        <x:v>需確認是否需預約、費用、限高、是否可中途進出、滿車時備用停車場與冬季除雪狀況。自駕旅客不應只看房價。</x:v>
      </x:c>
      <x:c r="G90" s="22" t="str">
        <x:v>訂房看停車：費用、限高、是否預約、可否進出、滿車備案。</x:v>
      </x:c>
      <x:c r="H90" s="22" t="str">
        <x:v>中</x:v>
      </x:c>
      <x:c r="I90" s="22" t="str">
        <x:v>否</x:v>
      </x:c>
      <x:c r="J90" s="22" t="str">
        <x:v>住宿導流</x:v>
      </x:c>
      <x:c r="K90" s="22" t="str"/>
      <x:c r="L90" s="22" t="str">
        <x:v>由兩份北海道 LINE 群組聊天紀錄萃取問題類型後重寫；已移除暱稱、日期、原文與個人行程細節。</x:v>
      </x:c>
    </x:row>
    <x:row r="91">
      <x:c r="A91" s="22" t="str">
        <x:v>FAQ-090</x:v>
      </x:c>
      <x:c r="B91" s="22" t="str">
        <x:v>住宿餐廳與購物</x:v>
      </x:c>
      <x:c r="C91" s="22" t="str">
        <x:v>民宿入住</x:v>
      </x:c>
      <x:c r="D91" s="22" t="str">
        <x:v>冬天入住民宿自駕要注意什麼？</x:v>
      </x:c>
      <x:c r="E91" s="22" t="str">
        <x:v>民宿、入住、停車、除雪</x:v>
      </x:c>
      <x:c r="F91" s="22" t="str">
        <x:v>確認停車位置、除雪狀況、暖氣操作、垃圾規則與緊急聯絡方式。大雪天應先看民宿提供的停車指引，不要停到鄰地或妨礙除雪。</x:v>
      </x:c>
      <x:c r="G91" s="22" t="str">
        <x:v>入住前看停車與除雪指引，不要亂停。先確認暖氣、垃圾與緊急聯絡方式。</x:v>
      </x:c>
      <x:c r="H91" s="22" t="str">
        <x:v>中</x:v>
      </x:c>
      <x:c r="I91" s="22" t="str">
        <x:v>否</x:v>
      </x:c>
      <x:c r="J91" s="22" t="str">
        <x:v>民宿住客 SOP</x:v>
      </x:c>
      <x:c r="K91" s="22" t="str"/>
      <x:c r="L91" s="22" t="str">
        <x:v>由兩份北海道 LINE 群組聊天紀錄萃取問題類型後重寫；已移除暱稱、日期、原文與個人行程細節。</x:v>
      </x:c>
    </x:row>
    <x:row r="92">
      <x:c r="A92" s="22" t="str">
        <x:v>FAQ-091</x:v>
      </x:c>
      <x:c r="B92" s="22" t="str">
        <x:v>LINE Bot資料庫</x:v>
      </x:c>
      <x:c r="C92" s="22" t="str">
        <x:v>關鍵字查詢</x:v>
      </x:c>
      <x:c r="D92" s="22" t="str">
        <x:v>使用者輸入一句很模糊的問題，Bot 要怎麼判斷？</x:v>
      </x:c>
      <x:c r="E92" s="22" t="str">
        <x:v>關鍵字、意圖、模糊問題</x:v>
      </x:c>
      <x:c r="F92" s="22" t="str">
        <x:v>先用關鍵字與意圖分類判斷，例如『停飛』歸到航班異動、『雪胎』歸到租車設備、『右轉』歸到交通法規。若命中高風險分類，回答應保守並引導查官方或人工協助。</x:v>
      </x:c>
      <x:c r="G92" s="22" t="str">
        <x:v>先判斷意圖，再回短答。高風險問題要提醒查官方或聯絡人工。</x:v>
      </x:c>
      <x:c r="H92" s="22" t="str">
        <x:v>中</x:v>
      </x:c>
      <x:c r="I92" s="22" t="str">
        <x:v>否</x:v>
      </x:c>
      <x:c r="J92" s="22" t="str">
        <x:v>產品設計</x:v>
      </x:c>
      <x:c r="K92" s="22" t="str"/>
      <x:c r="L92" s="22" t="str">
        <x:v>由兩份北海道 LINE 群組聊天紀錄萃取問題類型後重寫；已移除暱稱、日期、原文與個人行程細節。</x:v>
      </x:c>
    </x:row>
    <x:row r="93">
      <x:c r="A93" s="22" t="str">
        <x:v>FAQ-092</x:v>
      </x:c>
      <x:c r="B93" s="22" t="str">
        <x:v>LINE Bot資料庫</x:v>
      </x:c>
      <x:c r="C93" s="22" t="str">
        <x:v>人工介入</x:v>
      </x:c>
      <x:c r="D93" s="22" t="str">
        <x:v>哪些問題不應該讓 Bot 自動回答到底？</x:v>
      </x:c>
      <x:c r="E93" s="22" t="str">
        <x:v>人工介入、高風險、保險、法律</x:v>
      </x:c>
      <x:c r="F93" s="22" t="str">
        <x:v>法律責任、事故現場、醫療、保險理賠、租車合約爭議與即時災害，Bot 只能提供流程與提醒，應導向官方、租車公司、保險公司或人工客服。</x:v>
      </x:c>
      <x:c r="G93" s="22" t="str">
        <x:v>事故、醫療、保險、合約爭議不要讓 Bot 自己判定。只給流程，導人工或官方。</x:v>
      </x:c>
      <x:c r="H93" s="22" t="str">
        <x:v>高</x:v>
      </x:c>
      <x:c r="I93" s="22" t="str">
        <x:v>是</x:v>
      </x:c>
      <x:c r="J93" s="22" t="str">
        <x:v>產品設計</x:v>
      </x:c>
      <x:c r="K93" s="22" t="str"/>
      <x:c r="L93" s="22" t="str">
        <x:v>由兩份北海道 LINE 群組聊天紀錄萃取問題類型後重寫；已移除暱稱、日期、原文與個人行程細節。</x:v>
      </x:c>
    </x:row>
    <x:row r="94">
      <x:c r="A94" s="22" t="str">
        <x:v>FAQ-093</x:v>
      </x:c>
      <x:c r="B94" s="22" t="str">
        <x:v>LINE Bot資料庫</x:v>
      </x:c>
      <x:c r="C94" s="22" t="str">
        <x:v>隱私</x:v>
      </x:c>
      <x:c r="D94" s="22" t="str">
        <x:v>從聊天紀錄整理 FAQ 要保留原文嗎？</x:v>
      </x:c>
      <x:c r="E94" s="22" t="str">
        <x:v>匿名化、隱私、原文、個資</x:v>
      </x:c>
      <x:c r="F94" s="22" t="str">
        <x:v>不應保留暱稱、時間、個人旅遊日期、原文長段、照片或可識別資訊。只保留問題類型、關鍵字、標準答案與是否需查證。</x:v>
      </x:c>
      <x:c r="G94" s="22" t="str">
        <x:v>不要放原文與人名，只留問題類型、關鍵字與重寫答案。</x:v>
      </x:c>
      <x:c r="H94" s="22" t="str">
        <x:v>高</x:v>
      </x:c>
      <x:c r="I94" s="22" t="str">
        <x:v>是</x:v>
      </x:c>
      <x:c r="J94" s="22" t="str">
        <x:v>資料治理</x:v>
      </x:c>
      <x:c r="K94" s="22" t="str"/>
      <x:c r="L94" s="22" t="str">
        <x:v>由兩份北海道 LINE 群組聊天紀錄萃取問題類型後重寫；已移除暱稱、日期、原文與個人行程細節。</x:v>
      </x:c>
    </x:row>
    <x:row r="95">
      <x:c r="A95" s="22" t="str">
        <x:v>FAQ-094</x:v>
      </x:c>
      <x:c r="B95" s="22" t="str">
        <x:v>LINE Bot資料庫</x:v>
      </x:c>
      <x:c r="C95" s="22" t="str">
        <x:v>資料來源</x:v>
      </x:c>
      <x:c r="D95" s="22" t="str">
        <x:v>FAQ 的答案可以只靠群組經驗嗎？</x:v>
      </x:c>
      <x:c r="E95" s="22" t="str">
        <x:v>資料來源、官方、群組經驗</x:v>
      </x:c>
      <x:c r="F95" s="22" t="str">
        <x:v>不建議。群組經驗適合用來找痛點與問題語氣，但法規、保險、交通、天氣與租車規定應用官方資料或業者規定補強。</x:v>
      </x:c>
      <x:c r="G95" s="22" t="str">
        <x:v>群組用來找問題，不要當唯一答案來源。法規、保險、交通要補官方資料。</x:v>
      </x:c>
      <x:c r="H95" s="22" t="str">
        <x:v>高</x:v>
      </x:c>
      <x:c r="I95" s="22" t="str">
        <x:v>是</x:v>
      </x:c>
      <x:c r="J95" s="22" t="str">
        <x:v>資料治理</x:v>
      </x:c>
      <x:c r="K95" s="22" t="str"/>
      <x:c r="L95" s="22" t="str">
        <x:v>由兩份北海道 LINE 群組聊天紀錄萃取問題類型後重寫；已移除暱稱、日期、原文與個人行程細節。</x:v>
      </x:c>
    </x:row>
    <x:row r="96">
      <x:c r="A96" s="22" t="str">
        <x:v>FAQ-095</x:v>
      </x:c>
      <x:c r="B96" s="22" t="str">
        <x:v>LINE Bot資料庫</x:v>
      </x:c>
      <x:c r="C96" s="22" t="str">
        <x:v>風險分級</x:v>
      </x:c>
      <x:c r="D96" s="22" t="str">
        <x:v>FAQ 為什麼要分低中高風險？</x:v>
      </x:c>
      <x:c r="E96" s="22" t="str">
        <x:v>風險分級、高風險、低風險</x:v>
      </x:c>
      <x:c r="F96" s="22" t="str">
        <x:v>低風險可直接提供旅遊建議；中風險需提醒依現場或店家規定；高風險涉及安全、法律、保險或事故，需明確提示查官方與聯絡相關單位。</x:v>
      </x:c>
      <x:c r="G96" s="22" t="str">
        <x:v>高風險＝安全／法律／保險／事故，要保守回答並導官方或人工。</x:v>
      </x:c>
      <x:c r="H96" s="22" t="str">
        <x:v>中</x:v>
      </x:c>
      <x:c r="I96" s="22" t="str">
        <x:v>否</x:v>
      </x:c>
      <x:c r="J96" s="22" t="str">
        <x:v>資料庫設計</x:v>
      </x:c>
      <x:c r="K96" s="22" t="str"/>
      <x:c r="L96" s="22" t="str">
        <x:v>由兩份北海道 LINE 群組聊天紀錄萃取問題類型後重寫；已移除暱稱、日期、原文與個人行程細節。</x:v>
      </x:c>
    </x:row>
    <x:row r="97">
      <x:c r="A97" s="22" t="str">
        <x:v>FAQ-096</x:v>
      </x:c>
      <x:c r="B97" s="22" t="str">
        <x:v>LINE Bot資料庫</x:v>
      </x:c>
      <x:c r="C97" s="22" t="str">
        <x:v>社群內容</x:v>
      </x:c>
      <x:c r="D97" s="22" t="str">
        <x:v>FAQ 可以怎麼變成社群貼文？</x:v>
      </x:c>
      <x:c r="E97" s="22" t="str">
        <x:v>社群內容、Threads、IG、貼文</x:v>
      </x:c>
      <x:c r="F97" s="22" t="str">
        <x:v>每一題 FAQ 可變成短貼文、Reels 腳本、圖卡或長文。最適合的題目是高頻、具體、有警示感，例如『止まれ不是慢慢滑過』、『美瑛雪地不是都能踩』。</x:v>
      </x:c>
      <x:c r="G97" s="22" t="str">
        <x:v>FAQ 可變圖卡與短影音：一題一篇，先做高頻且有警示感的題目。</x:v>
      </x:c>
      <x:c r="H97" s="22" t="str">
        <x:v>低</x:v>
      </x:c>
      <x:c r="I97" s="22" t="str">
        <x:v>否</x:v>
      </x:c>
      <x:c r="J97" s="22" t="str">
        <x:v>社群內容</x:v>
      </x:c>
      <x:c r="K97" s="22" t="str"/>
      <x:c r="L97" s="22" t="str">
        <x:v>由兩份北海道 LINE 群組聊天紀錄萃取問題類型後重寫；已移除暱稱、日期、原文與個人行程細節。</x:v>
      </x:c>
    </x:row>
    <x:row r="98">
      <x:c r="A98" s="22" t="str">
        <x:v>FAQ-097</x:v>
      </x:c>
      <x:c r="B98" s="22" t="str">
        <x:v>LINE Bot資料庫</x:v>
      </x:c>
      <x:c r="C98" s="22" t="str">
        <x:v>住客版</x:v>
      </x:c>
      <x:c r="D98" s="22" t="str">
        <x:v>公開版 LINE 跟住客專屬版有什麼不同？</x:v>
      </x:c>
      <x:c r="E98" s="22" t="str">
        <x:v>住客專屬、公開版、民宿</x:v>
      </x:c>
      <x:c r="F98" s="22" t="str">
        <x:v>公開版提供一般旅遊與自駕安全資訊；住客版可加入民宿附近美食、停車、垃圾、暖氣、便利商店、醫院與緊急聯絡流程，提高住宿體驗並減少重複客服。</x:v>
      </x:c>
      <x:c r="G98" s="22" t="str">
        <x:v>公開版吸引旅客，住客版解決入住問題。兩者內容可以分層。</x:v>
      </x:c>
      <x:c r="H98" s="22" t="str">
        <x:v>低</x:v>
      </x:c>
      <x:c r="I98" s="22" t="str">
        <x:v>否</x:v>
      </x:c>
      <x:c r="J98" s="22" t="str">
        <x:v>民宿營運</x:v>
      </x:c>
      <x:c r="K98" s="22" t="str"/>
      <x:c r="L98" s="22" t="str">
        <x:v>由兩份北海道 LINE 群組聊天紀錄萃取問題類型後重寫；已移除暱稱、日期、原文與個人行程細節。</x:v>
      </x:c>
    </x:row>
    <x:row r="99">
      <x:c r="A99" s="22" t="str">
        <x:v>FAQ-098</x:v>
      </x:c>
      <x:c r="B99" s="22" t="str">
        <x:v>LINE Bot資料庫</x:v>
      </x:c>
      <x:c r="C99" s="22" t="str">
        <x:v>回報系統</x:v>
      </x:c>
      <x:c r="D99" s="22" t="str">
        <x:v>可以讓旅客回報路況或店家資訊嗎？</x:v>
      </x:c>
      <x:c r="E99" s="22" t="str">
        <x:v>回報、路況、店家、使用者投稿</x:v>
      </x:c>
      <x:c r="F99" s="22" t="str">
        <x:v>可以，但回報內容需審核後再公開，避免錯誤資訊、個資、車牌、人臉、商家爭議或誤導。應設計投稿同意與匿名化規則。</x:v>
      </x:c>
      <x:c r="G99" s="22" t="str">
        <x:v>可以收回報，但一定要審核再公開，避免錯誤與個資問題。</x:v>
      </x:c>
      <x:c r="H99" s="22" t="str">
        <x:v>中</x:v>
      </x:c>
      <x:c r="I99" s="22" t="str">
        <x:v>是</x:v>
      </x:c>
      <x:c r="J99" s="22" t="str">
        <x:v>產品設計</x:v>
      </x:c>
      <x:c r="K99" s="22" t="str"/>
      <x:c r="L99" s="22" t="str">
        <x:v>由兩份北海道 LINE 群組聊天紀錄萃取問題類型後重寫；已移除暱稱、日期、原文與個人行程細節。</x:v>
      </x:c>
    </x:row>
    <x:row r="100">
      <x:c r="A100" s="22" t="str">
        <x:v>FAQ-099</x:v>
      </x:c>
      <x:c r="B100" s="22" t="str">
        <x:v>LINE Bot資料庫</x:v>
      </x:c>
      <x:c r="C100" s="22" t="str">
        <x:v>資料更新</x:v>
      </x:c>
      <x:c r="D100" s="22" t="str">
        <x:v>FAQ 做好後多久要更新？</x:v>
      </x:c>
      <x:c r="E100" s="22" t="str">
        <x:v>更新頻率、維護、資料庫</x:v>
      </x:c>
      <x:c r="F100" s="22" t="str">
        <x:v>法規與救急流程至少每季檢查；天氣、路況、JR 航班連結需即時或每日更新；店家與停車場每月或每季檢查。過期資訊應標示最後更新日。</x:v>
      </x:c>
      <x:c r="G100" s="22" t="str">
        <x:v>法規每季查、天氣路況每日查、店家地圖每月查。每筆資料要有最後更新日。</x:v>
      </x:c>
      <x:c r="H100" s="22" t="str">
        <x:v>中</x:v>
      </x:c>
      <x:c r="I100" s="22" t="str">
        <x:v>是</x:v>
      </x:c>
      <x:c r="J100" s="22" t="str">
        <x:v>資料維護</x:v>
      </x:c>
      <x:c r="K100" s="22" t="str"/>
      <x:c r="L100" s="22" t="str">
        <x:v>由兩份北海道 LINE 群組聊天紀錄萃取問題類型後重寫；已移除暱稱、日期、原文與個人行程細節。</x:v>
      </x:c>
    </x:row>
    <x:row r="101">
      <x:c r="A101" s="22" t="str">
        <x:v>FAQ-100</x:v>
      </x:c>
      <x:c r="B101" s="22" t="str">
        <x:v>LINE Bot資料庫</x:v>
      </x:c>
      <x:c r="C101" s="22" t="str">
        <x:v>免責聲明</x:v>
      </x:c>
      <x:c r="D101" s="22" t="str">
        <x:v>LINE Bot 需要放免責聲明嗎？</x:v>
      </x:c>
      <x:c r="E101" s="22" t="str">
        <x:v>免責聲明、法律責任、參考資訊</x:v>
      </x:c>
      <x:c r="F101" s="22" t="str">
        <x:v>需要。應說明內容僅供旅遊參考，法規、警報、交通異動、租車與保險仍以官方機構、業者與現場人員說明為準。高風險頁面應重複提醒。</x:v>
      </x:c>
      <x:c r="G101" s="22" t="str">
        <x:v>要放免責聲明：資訊僅供參考，法規、交通、保險以官方與業者為準。</x:v>
      </x:c>
      <x:c r="H101" s="22" t="str">
        <x:v>高</x:v>
      </x:c>
      <x:c r="I101" s="22" t="str">
        <x:v>是</x:v>
      </x:c>
      <x:c r="J101" s="22" t="str">
        <x:v>產品設計</x:v>
      </x:c>
      <x:c r="K101" s="22" t="str"/>
      <x:c r="L101" s="22" t="str">
        <x:v>由兩份北海道 LINE 群組聊天紀錄萃取問題類型後重寫；已移除暱稱、日期、原文與個人行程細節。</x:v>
      </x:c>
    </x:row>
  </x:sheetData>
  <x:conditionalFormatting sqref="H2:H101">
    <x:cfRule type="expression" dxfId="0" priority="1">
      <x:formula>H2="高"</x:formula>
    </x:cfRule>
  </x:conditionalFormatting>
  <x:conditionalFormatting sqref="I2:I101">
    <x:cfRule type="expression" dxfId="1" priority="2">
      <x:formula>I2="是"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73e7f14ec944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32" hidden="0" customWidth="1"/>
    <x:col min="5" max="5" width="42" hidden="0" customWidth="1"/>
    <x:col min="6" max="6" width="16" hidden="0" customWidth="1"/>
    <x:col min="7" max="7" width="34" hidden="0" customWidth="1"/>
  </x:cols>
  <x:sheetData>
    <x:row r="1">
      <x:c r="A1" s="30" t="str">
        <x:v>Intent_ID</x:v>
      </x:c>
      <x:c r="B1" s="30" t="str">
        <x:v>主選單</x:v>
      </x:c>
      <x:c r="C1" s="30" t="str">
        <x:v>子意圖</x:v>
      </x:c>
      <x:c r="D1" s="30" t="str">
        <x:v>代表關鍵字</x:v>
      </x:c>
      <x:c r="E1" s="30" t="str">
        <x:v>回覆策略</x:v>
      </x:c>
      <x:c r="F1" s="30" t="str">
        <x:v>是否需人工介入</x:v>
      </x:c>
      <x:c r="G1" s="30" t="str">
        <x:v>備註</x:v>
      </x:c>
    </x:row>
    <x:row r="2">
      <x:c r="A2" s="12" t="str">
        <x:v>I-001</x:v>
      </x:c>
      <x:c r="B2" s="12" t="str">
        <x:v>自駕與法規</x:v>
      </x:c>
      <x:c r="C2" s="12" t="str">
        <x:v>駕照／日文譯本</x:v>
      </x:c>
      <x:c r="D2" s="12" t="str">
        <x:v>台灣駕照、國際駕照、日文譯本</x:v>
      </x:c>
      <x:c r="E2" s="12" t="str">
        <x:v>回答必要文件＋提醒以租車公司規定為準</x:v>
      </x:c>
      <x:c r="F2" s="12" t="str">
        <x:v>高風險時是</x:v>
      </x:c>
      <x:c r="G2" s="12" t="str">
        <x:v>正式版需補 JAF／官方來源</x:v>
      </x:c>
    </x:row>
    <x:row r="3">
      <x:c r="A3" s="12" t="str">
        <x:v>I-002</x:v>
      </x:c>
      <x:c r="B3" s="12" t="str">
        <x:v>自駕與法規</x:v>
      </x:c>
      <x:c r="C3" s="12" t="str">
        <x:v>一時停止／止まれ</x:v>
      </x:c>
      <x:c r="D3" s="12" t="str">
        <x:v>止まれ、一時停止、紅色倒三角</x:v>
      </x:c>
      <x:c r="E3" s="12" t="str">
        <x:v>短答＋圖解＋高風險提醒</x:v>
      </x:c>
      <x:c r="F3" s="12" t="str">
        <x:v>否</x:v>
      </x:c>
      <x:c r="G3" s="12" t="str">
        <x:v>可做圖卡</x:v>
      </x:c>
    </x:row>
    <x:row r="4">
      <x:c r="A4" s="12" t="str">
        <x:v>I-003</x:v>
      </x:c>
      <x:c r="B4" s="12" t="str">
        <x:v>自駕與法規</x:v>
      </x:c>
      <x:c r="C4" s="12" t="str">
        <x:v>右轉／直行車</x:v>
      </x:c>
      <x:c r="D4" s="12" t="str">
        <x:v>右轉、直行車、對向車</x:v>
      </x:c>
      <x:c r="E4" s="12" t="str">
        <x:v>說明禮讓原則＋不要搶快</x:v>
      </x:c>
      <x:c r="F4" s="12" t="str">
        <x:v>否</x:v>
      </x:c>
      <x:c r="G4" s="12" t="str">
        <x:v>可加動畫示意</x:v>
      </x:c>
    </x:row>
    <x:row r="5">
      <x:c r="A5" s="12" t="str">
        <x:v>I-004</x:v>
      </x:c>
      <x:c r="B5" s="12" t="str">
        <x:v>路況與天氣</x:v>
      </x:c>
      <x:c r="C5" s="12" t="str">
        <x:v>雪道／黑冰</x:v>
      </x:c>
      <x:c r="D5" s="12" t="str">
        <x:v>黑冰、結冰、橋上、陰影</x:v>
      </x:c>
      <x:c r="E5" s="12" t="str">
        <x:v>天氣條件＋駕駛行為提醒</x:v>
      </x:c>
      <x:c r="F5" s="12" t="str">
        <x:v>否</x:v>
      </x:c>
      <x:c r="G5" s="12" t="str">
        <x:v>可串 Open-Meteo</x:v>
      </x:c>
    </x:row>
    <x:row r="6">
      <x:c r="A6" s="12" t="str">
        <x:v>I-005</x:v>
      </x:c>
      <x:c r="B6" s="12" t="str">
        <x:v>路況與天氣</x:v>
      </x:c>
      <x:c r="C6" s="12" t="str">
        <x:v>白茫／吹雪</x:v>
      </x:c>
      <x:c r="D6" s="12" t="str">
        <x:v>白茫、吹雪、暴風雪</x:v>
      </x:c>
      <x:c r="E6" s="12" t="str">
        <x:v>立即安全動作＋避難點</x:v>
      </x:c>
      <x:c r="F6" s="12" t="str">
        <x:v>高風險時是</x:v>
      </x:c>
      <x:c r="G6" s="12" t="str">
        <x:v>可串道路與警報</x:v>
      </x:c>
    </x:row>
    <x:row r="7">
      <x:c r="A7" s="12" t="str">
        <x:v>I-006</x:v>
      </x:c>
      <x:c r="B7" s="12" t="str">
        <x:v>事故救急</x:v>
      </x:c>
      <x:c r="C7" s="12" t="str">
        <x:v>車禍／租車刮傷</x:v>
      </x:c>
      <x:c r="D7" s="12" t="str">
        <x:v>車禍、事故、刮傷、雪堆</x:v>
      </x:c>
      <x:c r="E7" s="12" t="str">
        <x:v>110／119＋租車公司＋拍照保存</x:v>
      </x:c>
      <x:c r="F7" s="12" t="str">
        <x:v>是</x:v>
      </x:c>
      <x:c r="G7" s="12" t="str">
        <x:v>需官方與租車合約補強</x:v>
      </x:c>
    </x:row>
    <x:row r="8">
      <x:c r="A8" s="12" t="str">
        <x:v>I-007</x:v>
      </x:c>
      <x:c r="B8" s="12" t="str">
        <x:v>JR／航班異動</x:v>
      </x:c>
      <x:c r="C8" s="12" t="str">
        <x:v>停飛／欠航</x:v>
      </x:c>
      <x:c r="D8" s="12" t="str">
        <x:v>停飛、欠航、延誤、不便險</x:v>
      </x:c>
      <x:c r="E8" s="12" t="str">
        <x:v>流程＋文件清單＋收據提醒</x:v>
      </x:c>
      <x:c r="F8" s="12" t="str">
        <x:v>高風險時是</x:v>
      </x:c>
      <x:c r="G8" s="12" t="str">
        <x:v>需航空公司與保險條款</x:v>
      </x:c>
    </x:row>
    <x:row r="9">
      <x:c r="A9" s="12" t="str">
        <x:v>I-008</x:v>
      </x:c>
      <x:c r="B9" s="12" t="str">
        <x:v>JR／航班異動</x:v>
      </x:c>
      <x:c r="C9" s="12" t="str">
        <x:v>JR運休／替代交通</x:v>
      </x:c>
      <x:c r="D9" s="12" t="str">
        <x:v>運休、停駛、JR、巴士</x:v>
      </x:c>
      <x:c r="E9" s="12" t="str">
        <x:v>官方查詢＋多住一晚／包車備案</x:v>
      </x:c>
      <x:c r="F9" s="12" t="str">
        <x:v>否</x:v>
      </x:c>
      <x:c r="G9" s="12" t="str">
        <x:v>可加官方連結</x:v>
      </x:c>
    </x:row>
    <x:row r="10">
      <x:c r="A10" s="12" t="str">
        <x:v>I-009</x:v>
      </x:c>
      <x:c r="B10" s="12" t="str">
        <x:v>拍照禁區提醒</x:v>
      </x:c>
      <x:c r="C10" s="12" t="str">
        <x:v>美瑛農田／臨停</x:v>
      </x:c>
      <x:c r="D10" s="12" t="str">
        <x:v>農田、雪地、臨停、拍照</x:v>
      </x:c>
      <x:c r="E10" s="12" t="str">
        <x:v>禮儀＋不可做清單</x:v>
      </x:c>
      <x:c r="F10" s="12" t="str">
        <x:v>否</x:v>
      </x:c>
      <x:c r="G10" s="12" t="str">
        <x:v>可做位置提醒</x:v>
      </x:c>
    </x:row>
    <x:row r="11">
      <x:c r="A11" s="12" t="str">
        <x:v>I-010</x:v>
      </x:c>
      <x:c r="B11" s="12" t="str">
        <x:v>神祕現金店</x:v>
      </x:c>
      <x:c r="C11" s="12" t="str">
        <x:v>現金／停車場／ATM</x:v>
      </x:c>
      <x:c r="D11" s="12" t="str">
        <x:v>現金、硬幣、ATM、駐車場</x:v>
      </x:c>
      <x:c r="E11" s="12" t="str">
        <x:v>準備現金＋地圖查詢</x:v>
      </x:c>
      <x:c r="F11" s="12" t="str">
        <x:v>否</x:v>
      </x:c>
      <x:c r="G11" s="12" t="str">
        <x:v>可做 Google Map 清單</x:v>
      </x:c>
    </x:row>
  </x:sheetData>
  <x:pageMargins left="0.7" right="0.7" top="0.75" bottom="0.75" header="0.3" footer="0.3"/>
  <x:tableParts count="1">
    <x:tablePart xmlns:r="http://schemas.openxmlformats.org/officeDocument/2006/relationships" r:id="Rb7c66410329d43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24" hidden="0" customWidth="1"/>
    <x:col min="5" max="5" width="34" hidden="0" customWidth="1"/>
    <x:col min="6" max="6" width="42" hidden="0" customWidth="1"/>
  </x:cols>
  <x:sheetData>
    <x:row r="1">
      <x:c r="A1" s="38" t="str">
        <x:v>情境</x:v>
      </x:c>
      <x:c r="B1" s="38" t="str">
        <x:v>立即動作</x:v>
      </x:c>
      <x:c r="C1" s="38" t="str">
        <x:v>日文短句</x:v>
      </x:c>
      <x:c r="D1" s="38" t="str">
        <x:v>聯絡對象</x:v>
      </x:c>
      <x:c r="E1" s="38" t="str">
        <x:v>要保留的資料</x:v>
      </x:c>
      <x:c r="F1" s="38" t="str">
        <x:v>LINE短答模板</x:v>
      </x:c>
    </x:row>
    <x:row r="2">
      <x:c r="A2" s="12" t="str">
        <x:v>發生車禍</x:v>
      </x:c>
      <x:c r="B2" s="12" t="str">
        <x:v>停車、打雙黃燈、確認傷者；受傷打119，交通事故打110；聯絡租車公司。</x:v>
      </x:c>
      <x:c r="C2" s="12" t="str">
        <x:v>交通事故に遭いました。場所はここです。</x:v>
      </x:c>
      <x:c r="D2" s="12" t="str">
        <x:v>警察、救護、租車公司</x:v>
      </x:c>
      <x:c r="E2" s="12" t="str">
        <x:v>現場照片、車牌、警察紀錄、租車文件、收據</x:v>
      </x:c>
      <x:c r="F2" s="12" t="str">
        <x:v>受傷打119，事故打110，不要私下和解，立刻聯絡租車公司。</x:v>
      </x:c>
    </x:row>
    <x:row r="3">
      <x:c r="A3" s="12" t="str">
        <x:v>租車刮傷／撞雪堆</x:v>
      </x:c>
      <x:c r="B3" s="12" t="str">
        <x:v>不要離開現場；依租車公司指示報警與拍照。</x:v>
      </x:c>
      <x:c r="C3" s="12" t="str">
        <x:v>レンタカーをぶつけてしまいました。</x:v>
      </x:c>
      <x:c r="D3" s="12" t="str">
        <x:v>租車公司、警察</x:v>
      </x:c>
      <x:c r="E3" s="12" t="str">
        <x:v>車損照片、現場照片、對話紀錄</x:v>
      </x:c>
      <x:c r="F3" s="12" t="str">
        <x:v>租車有車損就先聯絡租車公司，通常需要報警才不影響保險。</x:v>
      </x:c>
    </x:row>
    <x:row r="4">
      <x:c r="A4" s="12" t="str">
        <x:v>車子卡雪</x:v>
      </x:c>
      <x:c r="B4" s="12" t="str">
        <x:v>不要猛踩油門；清輪胎周圍雪；無法脫困則聯絡救援。</x:v>
      </x:c>
      <x:c r="C4" s="12" t="str">
        <x:v>車が雪にはまりました。助けが必要です。</x:v>
      </x:c>
      <x:c r="D4" s="12" t="str">
        <x:v>租車公司、道路救援、附近設施</x:v>
      </x:c>
      <x:c r="E4" s="12" t="str">
        <x:v>位置截圖、車輛狀況照片</x:v>
      </x:c>
      <x:c r="F4" s="12" t="str">
        <x:v>不要大腳油門，先清雪，出不來就叫救援。</x:v>
      </x:c>
    </x:row>
    <x:row r="5">
      <x:c r="A5" s="12" t="str">
        <x:v>航班停飛／欠航</x:v>
      </x:c>
      <x:c r="B5" s="12" t="str">
        <x:v>確認航空公司改票；通知租車、飯店、接送；索取證明。</x:v>
      </x:c>
      <x:c r="C5" s="12" t="str">
        <x:v>飛行機が欠航になりました。</x:v>
      </x:c>
      <x:c r="D5" s="12" t="str">
        <x:v>航空公司、租車公司、飯店、保險公司</x:v>
      </x:c>
      <x:c r="E5" s="12" t="str">
        <x:v>延誤／取消證明、登機證、收據</x:v>
      </x:c>
      <x:c r="F5" s="12" t="str">
        <x:v>先處理改票，再通知所有預約單位，保存證明與收據。</x:v>
      </x:c>
    </x:row>
    <x:row r="6">
      <x:c r="A6" s="12" t="str">
        <x:v>JR 運休</x:v>
      </x:c>
      <x:c r="B6" s="12" t="str">
        <x:v>查官方運行資訊；評估巴士、包車、計程車或多住一晚。</x:v>
      </x:c>
      <x:c r="C6" s="12" t="str">
        <x:v>電車が運休になりました。</x:v>
      </x:c>
      <x:c r="D6" s="12" t="str">
        <x:v>JR、飯店、包車業者</x:v>
      </x:c>
      <x:c r="E6" s="12" t="str">
        <x:v>運休截圖、票券、住宿收據</x:v>
      </x:c>
      <x:c r="F6" s="12" t="str">
        <x:v>不要硬趕路，先確保今晚住宿與安全移動方式。</x:v>
      </x:c>
    </x:row>
    <x:row r="7">
      <x:c r="A7" s="12" t="str">
        <x:v>白茫／吹雪</x:v>
      </x:c>
      <x:c r="B7" s="12" t="str">
        <x:v>開燈、降低速度、保持車距；找道之驛或便利商店暫停。</x:v>
      </x:c>
      <x:c r="C7" s="12" t="str">
        <x:v>吹雪で前が見えません。</x:v>
      </x:c>
      <x:c r="D7" s="12" t="str">
        <x:v>同行者、住宿、必要時警察</x:v>
      </x:c>
      <x:c r="E7" s="12" t="str">
        <x:v>位置、路況照片、天氣截圖</x:v>
      </x:c>
      <x:c r="F7" s="12" t="str">
        <x:v>白茫不要硬開，找安全地點停，不要停路中央。</x:v>
      </x:c>
    </x:row>
    <x:row r="8">
      <x:c r="A8" s="12" t="str">
        <x:v>大雪無法入住</x:v>
      </x:c>
      <x:c r="B8" s="12" t="str">
        <x:v>立即通知飯店或民宿；詢問延期、取消或晚到入住方式。</x:v>
      </x:c>
      <x:c r="C8" s="12" t="str">
        <x:v>大雪で到着が遅れます。</x:v>
      </x:c>
      <x:c r="D8" s="12" t="str">
        <x:v>飯店、訂房平台、保險公司</x:v>
      </x:c>
      <x:c r="E8" s="12" t="str">
        <x:v>交通異動證明、飯店對話、收據</x:v>
      </x:c>
      <x:c r="F8" s="12" t="str">
        <x:v>不要 no show，先通知住宿方才有協商空間。</x:v>
      </x:c>
    </x:row>
    <x:row r="9">
      <x:c r="A9" s="12" t="str">
        <x:v>加錯油</x:v>
      </x:c>
      <x:c r="B9" s="12" t="str">
        <x:v>不要再發動車輛；立刻聯絡租車公司與加油站人員。</x:v>
      </x:c>
      <x:c r="C9" s="12" t="str">
        <x:v>間違った燃料を入れてしまいました。</x:v>
      </x:c>
      <x:c r="D9" s="12" t="str">
        <x:v>租車公司、加油站</x:v>
      </x:c>
      <x:c r="E9" s="12" t="str">
        <x:v>加油收據、油種、車輛位置</x:v>
      </x:c>
      <x:c r="F9" s="12" t="str">
        <x:v>加錯油不要發動，立刻聯絡租車公司。</x:v>
      </x:c>
    </x:row>
  </x:sheetData>
  <x:pageMargins left="0.7" right="0.7" top="0.75" bottom="0.75" header="0.3" footer="0.3"/>
  <x:tableParts count="1">
    <x:tablePart xmlns:r="http://schemas.openxmlformats.org/officeDocument/2006/relationships" r:id="Rafb0abceb0d04e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4" t="str">
        <x:v>北海道 LINE Bot 匿名化 FAQ 資料庫 DEMO</x:v>
      </x:c>
      <x:c r="B1"/>
    </x:row>
    <x:row r="2">
      <x:c r="A2" s="9" t="str">
        <x:v>製作日期</x:v>
      </x:c>
      <x:c r="B2" s="12" t="str">
        <x:v>2026-05-18</x:v>
      </x:c>
    </x:row>
    <x:row r="3">
      <x:c r="A3" s="9" t="str">
        <x:v>用途</x:v>
      </x:c>
      <x:c r="B3" s="12" t="str">
        <x:v>作為台灣人北海道旅遊／自駕 LINE Bot、客服 SOP、社群內容題庫的第一版資料庫。</x:v>
      </x:c>
    </x:row>
    <x:row r="4">
      <x:c r="A4" s="9" t="str">
        <x:v>隱私處理原則</x:v>
      </x:c>
      <x:c r="B4" s="12" t="str">
        <x:v>不保留 LINE 暱稱、時間、個人旅遊日期、原文長段、照片、車牌、人臉或可識別資訊。所有問題與答案均已改寫成一般化 FAQ。</x:v>
      </x:c>
    </x:row>
    <x:row r="5">
      <x:c r="A5" s="9" t="str">
        <x:v>資料來源說明</x:v>
      </x:c>
      <x:c r="B5" s="12" t="str">
        <x:v>由使用者提供的兩份北海道 LINE 群組聊天紀錄萃取高頻問題類型後重寫。群組內容僅作為痛點與語氣參考，不作為唯一事實來源。</x:v>
      </x:c>
    </x:row>
    <x:row r="6">
      <x:c r="A6" s="9" t="str">
        <x:v>使用注意</x:v>
      </x:c>
      <x:c r="B6" s="12" t="str">
        <x:v>交通法規、事故、保險、航班、JR、租車合約與天氣警報等高風險資訊，正式上線前應補官方來源與最後更新日。</x:v>
      </x:c>
    </x:row>
    <x:row r="7">
      <x:c r="A7" s="9" t="str">
        <x:v>建議下一步</x:v>
      </x:c>
      <x:c r="B7" s="12" t="str">
        <x:v>逐題補上官方 URL、LINE 回覆模板、日文短句、關鍵字同義詞，並建立人工介入流程。</x:v>
      </x:c>
    </x:row>
  </x:sheetData>
  <x:mergeCells>
    <x:mergeCell ref="A1:B1"/>
  </x:mergeCells>
  <x:pageMargins left="0.7" right="0.7" top="0.75" bottom="0.75" header="0.3" footer="0.3"/>
</x:worksheet>
</file>